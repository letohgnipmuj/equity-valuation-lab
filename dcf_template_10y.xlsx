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9819d26f3cd4a4/Documents/! Projects/dcf project/v9/"/>
    </mc:Choice>
  </mc:AlternateContent>
  <xr:revisionPtr revIDLastSave="30" documentId="13_ncr:1_{4E62A8FE-3DDE-4A19-B2D7-E99BBA76E45C}" xr6:coauthVersionLast="47" xr6:coauthVersionMax="47" xr10:uidLastSave="{9DC2CFE9-234A-457B-8730-C8BF4758C7C8}"/>
  <bookViews>
    <workbookView xWindow="-110" yWindow="-110" windowWidth="19420" windowHeight="11500" tabRatio="500" xr2:uid="{00000000-000D-0000-FFFF-FFFF00000000}"/>
  </bookViews>
  <sheets>
    <sheet name="DCF" sheetId="1" r:id="rId1"/>
  </sheets>
  <definedNames>
    <definedName name="tgr">DCF!$D$10</definedName>
    <definedName name="wacc">DCF!$D$9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3" i="1" l="1"/>
  <c r="Y14" i="1" s="1"/>
  <c r="Y15" i="1" s="1"/>
  <c r="Y16" i="1" s="1"/>
  <c r="Y17" i="1" s="1"/>
  <c r="AC8" i="1"/>
  <c r="AD8" i="1" s="1"/>
  <c r="AE8" i="1" s="1"/>
  <c r="AF8" i="1" s="1"/>
  <c r="S16" i="1"/>
  <c r="R16" i="1"/>
  <c r="Q16" i="1"/>
  <c r="Q36" i="1" s="1"/>
  <c r="P16" i="1"/>
  <c r="P36" i="1"/>
  <c r="O16" i="1"/>
  <c r="F51" i="1"/>
  <c r="S50" i="1"/>
  <c r="R50" i="1"/>
  <c r="Q50" i="1"/>
  <c r="P50" i="1"/>
  <c r="O50" i="1"/>
  <c r="N50" i="1"/>
  <c r="M50" i="1"/>
  <c r="L50" i="1"/>
  <c r="K50" i="1"/>
  <c r="J50" i="1"/>
  <c r="I50" i="1"/>
  <c r="I51" i="1" s="1"/>
  <c r="H50" i="1"/>
  <c r="H51" i="1" s="1"/>
  <c r="G50" i="1"/>
  <c r="G51" i="1" s="1"/>
  <c r="F50" i="1"/>
  <c r="F48" i="1"/>
  <c r="S47" i="1"/>
  <c r="R47" i="1"/>
  <c r="Q47" i="1"/>
  <c r="P47" i="1"/>
  <c r="O47" i="1"/>
  <c r="N47" i="1"/>
  <c r="M47" i="1"/>
  <c r="L47" i="1"/>
  <c r="K47" i="1"/>
  <c r="J47" i="1"/>
  <c r="I47" i="1"/>
  <c r="I48" i="1" s="1"/>
  <c r="H47" i="1"/>
  <c r="H48" i="1" s="1"/>
  <c r="G47" i="1"/>
  <c r="G48" i="1" s="1"/>
  <c r="F47" i="1"/>
  <c r="I45" i="1"/>
  <c r="S44" i="1"/>
  <c r="R44" i="1"/>
  <c r="Q44" i="1"/>
  <c r="P44" i="1"/>
  <c r="O44" i="1"/>
  <c r="N44" i="1"/>
  <c r="M44" i="1"/>
  <c r="L44" i="1"/>
  <c r="K44" i="1"/>
  <c r="J44" i="1"/>
  <c r="I44" i="1"/>
  <c r="H44" i="1"/>
  <c r="H45" i="1" s="1"/>
  <c r="G44" i="1"/>
  <c r="G45" i="1" s="1"/>
  <c r="F44" i="1"/>
  <c r="F45" i="1" s="1"/>
  <c r="S40" i="1"/>
  <c r="R40" i="1"/>
  <c r="Q40" i="1"/>
  <c r="P40" i="1"/>
  <c r="O40" i="1"/>
  <c r="N40" i="1"/>
  <c r="M40" i="1"/>
  <c r="L40" i="1"/>
  <c r="K40" i="1"/>
  <c r="J40" i="1"/>
  <c r="H40" i="1"/>
  <c r="G40" i="1"/>
  <c r="F40" i="1"/>
  <c r="I39" i="1"/>
  <c r="H39" i="1"/>
  <c r="H42" i="1" s="1"/>
  <c r="G39" i="1"/>
  <c r="G42" i="1" s="1"/>
  <c r="G53" i="1" s="1"/>
  <c r="F39" i="1"/>
  <c r="F42" i="1" s="1"/>
  <c r="F53" i="1" s="1"/>
  <c r="S37" i="1"/>
  <c r="R37" i="1"/>
  <c r="Q37" i="1"/>
  <c r="P37" i="1"/>
  <c r="O37" i="1"/>
  <c r="N37" i="1"/>
  <c r="M37" i="1"/>
  <c r="L37" i="1"/>
  <c r="K37" i="1"/>
  <c r="J37" i="1"/>
  <c r="H37" i="1"/>
  <c r="G37" i="1"/>
  <c r="S36" i="1"/>
  <c r="R36" i="1"/>
  <c r="O36" i="1"/>
  <c r="I36" i="1"/>
  <c r="I42" i="1" s="1"/>
  <c r="H36" i="1"/>
  <c r="G36" i="1"/>
  <c r="F36" i="1"/>
  <c r="F37" i="1" s="1"/>
  <c r="S34" i="1"/>
  <c r="R34" i="1"/>
  <c r="Q34" i="1"/>
  <c r="P34" i="1"/>
  <c r="O34" i="1"/>
  <c r="N34" i="1"/>
  <c r="M34" i="1"/>
  <c r="L34" i="1"/>
  <c r="K34" i="1"/>
  <c r="J34" i="1"/>
  <c r="I33" i="1"/>
  <c r="I34" i="1" s="1"/>
  <c r="H33" i="1"/>
  <c r="G33" i="1"/>
  <c r="F33" i="1"/>
  <c r="I32" i="1"/>
  <c r="J30" i="1"/>
  <c r="J51" i="1" s="1"/>
  <c r="I30" i="1"/>
  <c r="H30" i="1"/>
  <c r="G30" i="1"/>
  <c r="F30" i="1"/>
  <c r="J27" i="1"/>
  <c r="J48" i="1" s="1"/>
  <c r="I27" i="1"/>
  <c r="H27" i="1"/>
  <c r="G27" i="1"/>
  <c r="F27" i="1"/>
  <c r="J24" i="1"/>
  <c r="J45" i="1" s="1"/>
  <c r="I24" i="1"/>
  <c r="H24" i="1"/>
  <c r="G24" i="1"/>
  <c r="F24" i="1"/>
  <c r="I20" i="1"/>
  <c r="H20" i="1"/>
  <c r="G20" i="1"/>
  <c r="F20" i="1"/>
  <c r="S19" i="1"/>
  <c r="S39" i="1" s="1"/>
  <c r="R19" i="1"/>
  <c r="R39" i="1" s="1"/>
  <c r="Q19" i="1"/>
  <c r="Q39" i="1" s="1"/>
  <c r="P19" i="1"/>
  <c r="P39" i="1" s="1"/>
  <c r="O19" i="1"/>
  <c r="O39" i="1" s="1"/>
  <c r="AJ17" i="1"/>
  <c r="AJ18" i="1" s="1"/>
  <c r="I17" i="1"/>
  <c r="H17" i="1"/>
  <c r="G17" i="1"/>
  <c r="F17" i="1"/>
  <c r="AJ16" i="1"/>
  <c r="J16" i="1"/>
  <c r="J19" i="1" s="1"/>
  <c r="J39" i="1" s="1"/>
  <c r="AJ12" i="1"/>
  <c r="AJ13" i="1" s="1"/>
  <c r="I14" i="1"/>
  <c r="H14" i="1"/>
  <c r="G14" i="1"/>
  <c r="J13" i="1"/>
  <c r="J33" i="1" s="1"/>
  <c r="J12" i="1"/>
  <c r="H12" i="1"/>
  <c r="H32" i="1" s="1"/>
  <c r="G12" i="1"/>
  <c r="G32" i="1" s="1"/>
  <c r="F12" i="1"/>
  <c r="F32" i="1" s="1"/>
  <c r="AJ11" i="1"/>
  <c r="K11" i="1"/>
  <c r="L11" i="1" s="1"/>
  <c r="M11" i="1" s="1"/>
  <c r="N11" i="1" s="1"/>
  <c r="O11" i="1" s="1"/>
  <c r="P11" i="1" s="1"/>
  <c r="Q11" i="1" s="1"/>
  <c r="R11" i="1" s="1"/>
  <c r="S11" i="1" s="1"/>
  <c r="AJ6" i="1"/>
  <c r="AB8" i="1" l="1"/>
  <c r="AA8" i="1" s="1"/>
  <c r="Z8" i="1" s="1"/>
  <c r="P42" i="1"/>
  <c r="P53" i="1" s="1"/>
  <c r="P54" i="1" s="1"/>
  <c r="Q42" i="1"/>
  <c r="Q53" i="1" s="1"/>
  <c r="Q54" i="1" s="1"/>
  <c r="S42" i="1"/>
  <c r="R42" i="1"/>
  <c r="R53" i="1" s="1"/>
  <c r="R54" i="1" s="1"/>
  <c r="O42" i="1"/>
  <c r="O53" i="1" s="1"/>
  <c r="O54" i="1" s="1"/>
  <c r="S53" i="1"/>
  <c r="S56" i="1" s="1"/>
  <c r="S57" i="1" s="1"/>
  <c r="S58" i="1" s="1"/>
  <c r="S61" i="1" s="1"/>
  <c r="S63" i="1" s="1"/>
  <c r="J32" i="1"/>
  <c r="K12" i="1"/>
  <c r="G34" i="1"/>
  <c r="I53" i="1"/>
  <c r="K13" i="1"/>
  <c r="H34" i="1"/>
  <c r="J36" i="1"/>
  <c r="J42" i="1" s="1"/>
  <c r="J53" i="1" s="1"/>
  <c r="J54" i="1" s="1"/>
  <c r="I37" i="1"/>
  <c r="I40" i="1"/>
  <c r="H53" i="1"/>
  <c r="Y12" i="1"/>
  <c r="Y11" i="1" s="1"/>
  <c r="K33" i="1" l="1"/>
  <c r="L13" i="1"/>
  <c r="K24" i="1"/>
  <c r="K45" i="1" s="1"/>
  <c r="K27" i="1"/>
  <c r="K48" i="1" s="1"/>
  <c r="K16" i="1"/>
  <c r="K30" i="1"/>
  <c r="K51" i="1" s="1"/>
  <c r="K32" i="1"/>
  <c r="L12" i="1"/>
  <c r="S54" i="1"/>
  <c r="AJ7" i="1" l="1"/>
  <c r="AJ8" i="1" s="1"/>
  <c r="G4" i="1"/>
  <c r="L32" i="1"/>
  <c r="M12" i="1"/>
  <c r="K19" i="1"/>
  <c r="K39" i="1" s="1"/>
  <c r="K36" i="1"/>
  <c r="K42" i="1" s="1"/>
  <c r="K53" i="1" s="1"/>
  <c r="K54" i="1" s="1"/>
  <c r="L30" i="1"/>
  <c r="L51" i="1" s="1"/>
  <c r="L33" i="1"/>
  <c r="M13" i="1"/>
  <c r="L24" i="1"/>
  <c r="L45" i="1" s="1"/>
  <c r="L27" i="1"/>
  <c r="L48" i="1" s="1"/>
  <c r="L16" i="1"/>
  <c r="K5" i="1" l="1"/>
  <c r="Y8" i="1"/>
  <c r="L19" i="1"/>
  <c r="L39" i="1" s="1"/>
  <c r="L36" i="1"/>
  <c r="L42" i="1" s="1"/>
  <c r="L53" i="1" s="1"/>
  <c r="L54" i="1" s="1"/>
  <c r="M30" i="1"/>
  <c r="M51" i="1" s="1"/>
  <c r="M33" i="1"/>
  <c r="N13" i="1"/>
  <c r="M24" i="1"/>
  <c r="M45" i="1" s="1"/>
  <c r="M27" i="1"/>
  <c r="M48" i="1" s="1"/>
  <c r="M16" i="1"/>
  <c r="M32" i="1"/>
  <c r="N12" i="1"/>
  <c r="N32" i="1" l="1"/>
  <c r="O12" i="1"/>
  <c r="N30" i="1"/>
  <c r="N51" i="1" s="1"/>
  <c r="N27" i="1"/>
  <c r="N48" i="1" s="1"/>
  <c r="N16" i="1"/>
  <c r="N33" i="1"/>
  <c r="O13" i="1"/>
  <c r="N24" i="1"/>
  <c r="N45" i="1" s="1"/>
  <c r="M19" i="1"/>
  <c r="M39" i="1" s="1"/>
  <c r="M36" i="1"/>
  <c r="M42" i="1" s="1"/>
  <c r="M53" i="1" s="1"/>
  <c r="M54" i="1" s="1"/>
  <c r="O30" i="1" l="1"/>
  <c r="O51" i="1" s="1"/>
  <c r="O27" i="1"/>
  <c r="O48" i="1" s="1"/>
  <c r="P13" i="1"/>
  <c r="O24" i="1"/>
  <c r="O45" i="1" s="1"/>
  <c r="O33" i="1"/>
  <c r="N36" i="1"/>
  <c r="N19" i="1"/>
  <c r="N39" i="1" s="1"/>
  <c r="P12" i="1"/>
  <c r="O32" i="1"/>
  <c r="Q12" i="1" l="1"/>
  <c r="P32" i="1"/>
  <c r="N42" i="1"/>
  <c r="N53" i="1" s="1"/>
  <c r="N54" i="1" s="1"/>
  <c r="P27" i="1"/>
  <c r="P48" i="1" s="1"/>
  <c r="Q13" i="1"/>
  <c r="P24" i="1"/>
  <c r="P45" i="1" s="1"/>
  <c r="P30" i="1"/>
  <c r="P51" i="1" s="1"/>
  <c r="P33" i="1"/>
  <c r="Q27" i="1" l="1"/>
  <c r="Q48" i="1" s="1"/>
  <c r="R13" i="1"/>
  <c r="Q24" i="1"/>
  <c r="Q45" i="1" s="1"/>
  <c r="Q30" i="1"/>
  <c r="Q51" i="1" s="1"/>
  <c r="Q33" i="1"/>
  <c r="R12" i="1"/>
  <c r="Q32" i="1"/>
  <c r="S12" i="1" l="1"/>
  <c r="S32" i="1" s="1"/>
  <c r="R32" i="1"/>
  <c r="S13" i="1"/>
  <c r="R24" i="1"/>
  <c r="R45" i="1" s="1"/>
  <c r="R27" i="1"/>
  <c r="R48" i="1" s="1"/>
  <c r="R30" i="1"/>
  <c r="R51" i="1" s="1"/>
  <c r="R33" i="1"/>
  <c r="S24" i="1" l="1"/>
  <c r="S45" i="1" s="1"/>
  <c r="S27" i="1"/>
  <c r="S48" i="1" s="1"/>
  <c r="S30" i="1"/>
  <c r="S51" i="1" s="1"/>
  <c r="S33" i="1"/>
</calcChain>
</file>

<file path=xl/sharedStrings.xml><?xml version="1.0" encoding="utf-8"?>
<sst xmlns="http://schemas.openxmlformats.org/spreadsheetml/2006/main" count="74" uniqueCount="39">
  <si>
    <t>DCF TEMPLATE</t>
  </si>
  <si>
    <t>x</t>
  </si>
  <si>
    <t>Ticker</t>
  </si>
  <si>
    <t>Implied Share Price</t>
  </si>
  <si>
    <t>Date</t>
  </si>
  <si>
    <t>Today's Share Price</t>
  </si>
  <si>
    <t>Upside (Downside)</t>
  </si>
  <si>
    <t>Sensitivity Analysis</t>
  </si>
  <si>
    <t>Base Case</t>
  </si>
  <si>
    <t>Assumptions &amp; Drivers</t>
  </si>
  <si>
    <t>WACC</t>
  </si>
  <si>
    <t>Valuation Assumptions</t>
  </si>
  <si>
    <t>TGR</t>
  </si>
  <si>
    <t>Forecast</t>
  </si>
  <si>
    <t>Optimistic Case</t>
  </si>
  <si>
    <t>Income Statement</t>
  </si>
  <si>
    <t>Revenue</t>
  </si>
  <si>
    <t>% growth</t>
  </si>
  <si>
    <t>Conservative Case</t>
  </si>
  <si>
    <t>EBIT</t>
  </si>
  <si>
    <t>% of sales</t>
  </si>
  <si>
    <t>Taxes</t>
  </si>
  <si>
    <t>% of EBIT</t>
  </si>
  <si>
    <t>Cash Flow Items</t>
  </si>
  <si>
    <t>D&amp;A</t>
  </si>
  <si>
    <t>CapEx</t>
  </si>
  <si>
    <t>Change in NWC</t>
  </si>
  <si>
    <t>DCF</t>
  </si>
  <si>
    <t>EBIAT (NOPAT)</t>
  </si>
  <si>
    <t>Unlevered FCF</t>
  </si>
  <si>
    <t>Present Value of FCF</t>
  </si>
  <si>
    <t>Terminal Value</t>
  </si>
  <si>
    <t>Present Value of Terminal Value</t>
  </si>
  <si>
    <t>Enterprise Value</t>
  </si>
  <si>
    <t>+ Cash</t>
  </si>
  <si>
    <t>- Debt</t>
  </si>
  <si>
    <t>Equity Value</t>
  </si>
  <si>
    <t>Shares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</si>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</sst>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.00"/>
    <numFmt numFmtId="165" formatCode="_([$$-409]* #,##0.00_);_([$$-409]* \(#,##0.00\);_([$$-409]* \-??_);_(@_)"/>
    <numFmt numFmtId="166" formatCode="0%;\(0%\)"/>
    <numFmt numFmtId="167" formatCode="0.0%;\(0.0%\)"/>
    <numFmt numFmtId="168" formatCode="0.0%"/>
    <numFmt numFmtId="169" formatCode="_(\$* #,##0.00_);_(\$* \(#,##0.00\);_(\$* \-??_);_(@_)"/>
    <numFmt numFmtId="170" formatCode="_(\$* #,##0_);_(\$* \(#,##0\);_(\$* \-??_);_(@_)"/>
    <numFmt numFmtId="171" formatCode="\$#,##0_);[Red]&quot;($&quot;#,##0\)"/>
    <numFmt numFmtId="172" formatCode="_(\$* #,##0.0000_);_(\$* \(#,##0.0000\);_(\$* \-??_);_(@_)"/>
    <numFmt numFmtId="173" formatCode="\$#,##0"/>
  </numFmts>
  <fonts count="14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1"/>
      <color theme="2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E7E6E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548135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theme="0"/>
      <name val="Calibri"/>
      <family val="2"/>
      <charset val="1"/>
    </font>
    <font>
      <sz val="11"/>
      <color rgb="FFFFFFFF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E7E6E6"/>
      </patternFill>
    </fill>
    <fill>
      <patternFill patternType="solid">
        <fgColor theme="1"/>
        <bgColor rgb="FF262626"/>
      </patternFill>
    </fill>
    <fill>
      <patternFill patternType="solid">
        <fgColor rgb="FF262626"/>
        <bgColor rgb="FF333300"/>
      </patternFill>
    </fill>
    <fill>
      <patternFill patternType="solid">
        <fgColor rgb="FFD0CECE"/>
        <bgColor rgb="FFB7B7B7"/>
      </patternFill>
    </fill>
    <fill>
      <patternFill patternType="solid">
        <fgColor theme="9"/>
        <bgColor rgb="FF548135"/>
      </patternFill>
    </fill>
    <fill>
      <patternFill patternType="solid">
        <fgColor theme="0"/>
        <bgColor rgb="FFFEF2CB"/>
      </patternFill>
    </fill>
    <fill>
      <patternFill patternType="solid">
        <fgColor rgb="FF666666"/>
        <bgColor rgb="FF808080"/>
      </patternFill>
    </fill>
    <fill>
      <patternFill patternType="solid">
        <fgColor rgb="FFF4B083"/>
        <bgColor rgb="FFFF99CC"/>
      </patternFill>
    </fill>
    <fill>
      <patternFill patternType="solid">
        <fgColor rgb="FFA8D08D"/>
        <bgColor rgb="FFB7B7B7"/>
      </patternFill>
    </fill>
    <fill>
      <patternFill patternType="solid">
        <fgColor rgb="FFB7B7B7"/>
        <bgColor rgb="FFD0CECE"/>
      </patternFill>
    </fill>
    <fill>
      <patternFill patternType="solid">
        <fgColor theme="5"/>
        <bgColor rgb="FFFF8080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2" borderId="2" xfId="0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5" fontId="1" fillId="0" borderId="0" xfId="0" applyNumberFormat="1" applyFont="1"/>
    <xf numFmtId="166" fontId="1" fillId="0" borderId="0" xfId="0" applyNumberFormat="1" applyFont="1"/>
    <xf numFmtId="14" fontId="1" fillId="2" borderId="2" xfId="0" applyNumberFormat="1" applyFont="1" applyFill="1" applyBorder="1" applyAlignment="1">
      <alignment horizontal="center"/>
    </xf>
    <xf numFmtId="0" fontId="3" fillId="0" borderId="0" xfId="0" applyFont="1"/>
    <xf numFmtId="167" fontId="1" fillId="0" borderId="3" xfId="0" applyNumberFormat="1" applyFont="1" applyBorder="1" applyAlignment="1">
      <alignment horizontal="center"/>
    </xf>
    <xf numFmtId="0" fontId="6" fillId="3" borderId="0" xfId="0" applyFont="1" applyFill="1"/>
    <xf numFmtId="0" fontId="1" fillId="3" borderId="0" xfId="0" applyFont="1" applyFill="1"/>
    <xf numFmtId="0" fontId="4" fillId="0" borderId="0" xfId="0" applyFont="1"/>
    <xf numFmtId="0" fontId="7" fillId="4" borderId="4" xfId="0" applyFont="1" applyFill="1" applyBorder="1" applyAlignment="1">
      <alignment vertical="center"/>
    </xf>
    <xf numFmtId="0" fontId="8" fillId="0" borderId="0" xfId="0" applyFont="1"/>
    <xf numFmtId="164" fontId="8" fillId="0" borderId="3" xfId="0" applyNumberFormat="1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165" fontId="1" fillId="5" borderId="0" xfId="0" applyNumberFormat="1" applyFont="1" applyFill="1" applyAlignment="1">
      <alignment horizontal="center" vertical="center"/>
    </xf>
    <xf numFmtId="10" fontId="1" fillId="5" borderId="0" xfId="0" applyNumberFormat="1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167" fontId="8" fillId="6" borderId="3" xfId="0" applyNumberFormat="1" applyFont="1" applyFill="1" applyBorder="1" applyAlignment="1">
      <alignment horizontal="center"/>
    </xf>
    <xf numFmtId="10" fontId="1" fillId="2" borderId="3" xfId="0" applyNumberFormat="1" applyFont="1" applyFill="1" applyBorder="1" applyAlignment="1">
      <alignment horizontal="center"/>
    </xf>
    <xf numFmtId="168" fontId="1" fillId="5" borderId="0" xfId="0" applyNumberFormat="1" applyFont="1" applyFill="1" applyAlignment="1">
      <alignment horizontal="center" vertical="center"/>
    </xf>
    <xf numFmtId="169" fontId="1" fillId="0" borderId="0" xfId="0" applyNumberFormat="1" applyFont="1"/>
    <xf numFmtId="169" fontId="1" fillId="0" borderId="8" xfId="0" applyNumberFormat="1" applyFont="1" applyBorder="1"/>
    <xf numFmtId="168" fontId="1" fillId="7" borderId="0" xfId="0" applyNumberFormat="1" applyFont="1" applyFill="1" applyAlignment="1">
      <alignment horizontal="center" vertical="center"/>
    </xf>
    <xf numFmtId="0" fontId="9" fillId="0" borderId="0" xfId="0" applyFont="1"/>
    <xf numFmtId="0" fontId="1" fillId="7" borderId="0" xfId="0" applyFont="1" applyFill="1"/>
    <xf numFmtId="169" fontId="8" fillId="9" borderId="9" xfId="0" applyNumberFormat="1" applyFont="1" applyFill="1" applyBorder="1"/>
    <xf numFmtId="169" fontId="1" fillId="7" borderId="8" xfId="0" applyNumberFormat="1" applyFont="1" applyFill="1" applyBorder="1"/>
    <xf numFmtId="170" fontId="4" fillId="7" borderId="0" xfId="0" applyNumberFormat="1" applyFont="1" applyFill="1"/>
    <xf numFmtId="170" fontId="10" fillId="7" borderId="0" xfId="0" applyNumberFormat="1" applyFont="1" applyFill="1"/>
    <xf numFmtId="170" fontId="10" fillId="7" borderId="10" xfId="0" applyNumberFormat="1" applyFont="1" applyFill="1" applyBorder="1"/>
    <xf numFmtId="170" fontId="0" fillId="0" borderId="0" xfId="0" applyNumberFormat="1"/>
    <xf numFmtId="168" fontId="8" fillId="5" borderId="0" xfId="0" applyNumberFormat="1" applyFont="1" applyFill="1" applyAlignment="1">
      <alignment horizontal="center" vertical="center"/>
    </xf>
    <xf numFmtId="169" fontId="8" fillId="5" borderId="9" xfId="0" applyNumberFormat="1" applyFont="1" applyFill="1" applyBorder="1"/>
    <xf numFmtId="0" fontId="11" fillId="7" borderId="0" xfId="0" applyFont="1" applyFill="1"/>
    <xf numFmtId="168" fontId="12" fillId="7" borderId="0" xfId="0" applyNumberFormat="1" applyFont="1" applyFill="1"/>
    <xf numFmtId="168" fontId="11" fillId="7" borderId="0" xfId="0" applyNumberFormat="1" applyFont="1" applyFill="1"/>
    <xf numFmtId="168" fontId="11" fillId="7" borderId="11" xfId="0" applyNumberFormat="1" applyFont="1" applyFill="1" applyBorder="1"/>
    <xf numFmtId="0" fontId="4" fillId="7" borderId="0" xfId="0" applyFont="1" applyFill="1"/>
    <xf numFmtId="169" fontId="8" fillId="10" borderId="9" xfId="0" applyNumberFormat="1" applyFont="1" applyFill="1" applyBorder="1" applyAlignment="1">
      <alignment horizontal="center" vertical="center"/>
    </xf>
    <xf numFmtId="10" fontId="1" fillId="7" borderId="0" xfId="0" applyNumberFormat="1" applyFont="1" applyFill="1" applyAlignment="1">
      <alignment horizontal="center" vertical="center"/>
    </xf>
    <xf numFmtId="0" fontId="8" fillId="7" borderId="0" xfId="0" applyFont="1" applyFill="1"/>
    <xf numFmtId="0" fontId="1" fillId="7" borderId="11" xfId="0" applyFont="1" applyFill="1" applyBorder="1"/>
    <xf numFmtId="170" fontId="10" fillId="7" borderId="11" xfId="0" applyNumberFormat="1" applyFont="1" applyFill="1" applyBorder="1"/>
    <xf numFmtId="169" fontId="1" fillId="0" borderId="12" xfId="0" applyNumberFormat="1" applyFont="1" applyBorder="1"/>
    <xf numFmtId="169" fontId="1" fillId="0" borderId="13" xfId="0" applyNumberFormat="1" applyFont="1" applyBorder="1"/>
    <xf numFmtId="0" fontId="7" fillId="7" borderId="0" xfId="0" applyFont="1" applyFill="1" applyAlignment="1">
      <alignment vertical="center"/>
    </xf>
    <xf numFmtId="168" fontId="4" fillId="7" borderId="0" xfId="0" applyNumberFormat="1" applyFont="1" applyFill="1" applyAlignment="1">
      <alignment horizontal="center" vertical="center"/>
    </xf>
    <xf numFmtId="169" fontId="4" fillId="7" borderId="0" xfId="0" applyNumberFormat="1" applyFont="1" applyFill="1"/>
    <xf numFmtId="167" fontId="8" fillId="12" borderId="3" xfId="0" applyNumberFormat="1" applyFont="1" applyFill="1" applyBorder="1" applyAlignment="1">
      <alignment horizontal="center"/>
    </xf>
    <xf numFmtId="0" fontId="11" fillId="0" borderId="0" xfId="0" applyFont="1"/>
    <xf numFmtId="168" fontId="12" fillId="0" borderId="0" xfId="0" applyNumberFormat="1" applyFont="1"/>
    <xf numFmtId="168" fontId="11" fillId="0" borderId="0" xfId="0" applyNumberFormat="1" applyFont="1"/>
    <xf numFmtId="0" fontId="13" fillId="0" borderId="0" xfId="0" applyFont="1"/>
    <xf numFmtId="0" fontId="1" fillId="0" borderId="11" xfId="0" applyFont="1" applyBorder="1"/>
    <xf numFmtId="0" fontId="9" fillId="7" borderId="0" xfId="0" applyFont="1" applyFill="1"/>
    <xf numFmtId="167" fontId="12" fillId="0" borderId="0" xfId="0" applyNumberFormat="1" applyFont="1"/>
    <xf numFmtId="167" fontId="11" fillId="0" borderId="0" xfId="0" applyNumberFormat="1" applyFont="1"/>
    <xf numFmtId="171" fontId="1" fillId="7" borderId="0" xfId="0" applyNumberFormat="1" applyFont="1" applyFill="1"/>
    <xf numFmtId="0" fontId="8" fillId="0" borderId="14" xfId="0" applyFont="1" applyBorder="1"/>
    <xf numFmtId="0" fontId="8" fillId="0" borderId="15" xfId="0" applyFont="1" applyBorder="1"/>
    <xf numFmtId="170" fontId="8" fillId="0" borderId="15" xfId="0" applyNumberFormat="1" applyFont="1" applyBorder="1"/>
    <xf numFmtId="170" fontId="8" fillId="0" borderId="14" xfId="0" applyNumberFormat="1" applyFont="1" applyBorder="1"/>
    <xf numFmtId="168" fontId="1" fillId="7" borderId="0" xfId="0" applyNumberFormat="1" applyFont="1" applyFill="1"/>
    <xf numFmtId="3" fontId="1" fillId="0" borderId="0" xfId="0" applyNumberFormat="1" applyFont="1"/>
    <xf numFmtId="168" fontId="11" fillId="0" borderId="11" xfId="0" applyNumberFormat="1" applyFont="1" applyBorder="1"/>
    <xf numFmtId="168" fontId="1" fillId="0" borderId="0" xfId="0" applyNumberFormat="1" applyFont="1"/>
    <xf numFmtId="172" fontId="4" fillId="0" borderId="0" xfId="0" applyNumberFormat="1" applyFont="1"/>
    <xf numFmtId="172" fontId="1" fillId="0" borderId="0" xfId="0" applyNumberFormat="1" applyFont="1"/>
    <xf numFmtId="0" fontId="1" fillId="0" borderId="16" xfId="0" applyFont="1" applyBorder="1"/>
    <xf numFmtId="0" fontId="8" fillId="0" borderId="17" xfId="0" applyFont="1" applyBorder="1"/>
    <xf numFmtId="37" fontId="8" fillId="0" borderId="15" xfId="0" applyNumberFormat="1" applyFont="1" applyBorder="1"/>
    <xf numFmtId="14" fontId="1" fillId="0" borderId="0" xfId="0" applyNumberFormat="1" applyFont="1"/>
    <xf numFmtId="37" fontId="1" fillId="0" borderId="0" xfId="0" applyNumberFormat="1" applyFont="1"/>
    <xf numFmtId="37" fontId="1" fillId="0" borderId="1" xfId="0" applyNumberFormat="1" applyFont="1" applyBorder="1"/>
    <xf numFmtId="37" fontId="8" fillId="0" borderId="0" xfId="0" applyNumberFormat="1" applyFont="1"/>
    <xf numFmtId="173" fontId="1" fillId="0" borderId="3" xfId="0" applyNumberFormat="1" applyFont="1" applyBorder="1" applyAlignment="1">
      <alignment horizontal="right"/>
    </xf>
    <xf numFmtId="173" fontId="1" fillId="0" borderId="18" xfId="0" applyNumberFormat="1" applyFont="1" applyBorder="1" applyAlignment="1">
      <alignment horizontal="right"/>
    </xf>
    <xf numFmtId="3" fontId="1" fillId="0" borderId="18" xfId="0" applyNumberFormat="1" applyFont="1" applyBorder="1" applyAlignment="1">
      <alignment horizontal="right"/>
    </xf>
    <xf numFmtId="165" fontId="8" fillId="0" borderId="0" xfId="0" applyNumberFormat="1" applyFont="1"/>
    <xf numFmtId="0" fontId="8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135"/>
      <rgbColor rgb="FF800080"/>
      <rgbColor rgb="FF008080"/>
      <rgbColor rgb="FFB7B7B7"/>
      <rgbColor rgb="FF808080"/>
      <rgbColor rgb="FF9999FF"/>
      <rgbColor rgb="FF993366"/>
      <rgbColor rgb="FFFEF2CB"/>
      <rgbColor rgb="FFE7E6E6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D08D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1000"/>
  <sheetViews>
    <sheetView showGridLines="0" tabSelected="1" topLeftCell="V3" zoomScale="94" zoomScaleNormal="86" workbookViewId="0">
      <selection activeCell="Y8" sqref="Y8:AF17"/>
    </sheetView>
  </sheetViews>
  <sheetFormatPr defaultColWidth="14.453125" defaultRowHeight="14.5" outlineLevelRow="1" outlineLevelCol="1" x14ac:dyDescent="0.35"/>
  <cols>
    <col min="1" max="1" width="3.7265625" customWidth="1"/>
    <col min="2" max="2" width="9.7265625" customWidth="1"/>
    <col min="3" max="3" width="10.08984375" customWidth="1"/>
    <col min="4" max="4" width="9.81640625" customWidth="1"/>
    <col min="5" max="5" width="18.453125" customWidth="1" outlineLevel="1"/>
    <col min="6" max="10" width="20.54296875" customWidth="1" outlineLevel="1"/>
    <col min="11" max="19" width="20.54296875" customWidth="1"/>
    <col min="20" max="27" width="13.81640625" customWidth="1"/>
    <col min="28" max="29" width="9.7265625" customWidth="1"/>
    <col min="30" max="30" width="10.26953125" customWidth="1"/>
    <col min="31" max="34" width="9.7265625" customWidth="1"/>
  </cols>
  <sheetData>
    <row r="2" spans="1:39" ht="21" customHeight="1" x14ac:dyDescent="0.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4" spans="1:39" x14ac:dyDescent="0.35">
      <c r="A4" s="3" t="s">
        <v>1</v>
      </c>
      <c r="B4" s="3" t="s">
        <v>2</v>
      </c>
      <c r="C4" s="4"/>
      <c r="E4" s="3" t="s">
        <v>3</v>
      </c>
      <c r="G4" s="5" t="e">
        <f>S63</f>
        <v>#DIV/0!</v>
      </c>
      <c r="M4" s="6"/>
      <c r="R4" s="7"/>
    </row>
    <row r="5" spans="1:39" x14ac:dyDescent="0.35">
      <c r="B5" s="3" t="s">
        <v>4</v>
      </c>
      <c r="C5" s="8"/>
      <c r="E5" s="3" t="s">
        <v>5</v>
      </c>
      <c r="G5" s="5"/>
      <c r="H5" s="9"/>
      <c r="I5" s="3" t="s">
        <v>6</v>
      </c>
      <c r="K5" s="10" t="e">
        <f>G4/G5-1</f>
        <v>#DIV/0!</v>
      </c>
      <c r="M5" s="6"/>
      <c r="X5" s="84" t="s">
        <v>7</v>
      </c>
      <c r="Y5" s="84"/>
      <c r="Z5" s="84"/>
      <c r="AA5" s="84"/>
      <c r="AB5" s="84"/>
      <c r="AC5" s="84"/>
      <c r="AD5" s="84"/>
      <c r="AE5" s="84"/>
      <c r="AF5" s="84"/>
      <c r="AH5" s="85" t="s">
        <v>8</v>
      </c>
      <c r="AI5" s="85"/>
      <c r="AJ5" s="85"/>
    </row>
    <row r="6" spans="1:39" ht="15.75" customHeight="1" x14ac:dyDescent="0.35">
      <c r="AC6" s="3"/>
      <c r="AE6" s="5"/>
      <c r="AH6" s="3" t="s">
        <v>5</v>
      </c>
      <c r="AJ6" s="5">
        <f>$G$5</f>
        <v>0</v>
      </c>
    </row>
    <row r="7" spans="1:39" x14ac:dyDescent="0.35">
      <c r="A7" s="3" t="s">
        <v>1</v>
      </c>
      <c r="B7" s="11" t="s">
        <v>9</v>
      </c>
      <c r="C7" s="1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X7" s="14"/>
      <c r="Y7" s="86" t="s">
        <v>10</v>
      </c>
      <c r="Z7" s="86"/>
      <c r="AA7" s="86"/>
      <c r="AB7" s="86"/>
      <c r="AC7" s="86"/>
      <c r="AD7" s="86"/>
      <c r="AE7" s="86"/>
      <c r="AF7" s="86"/>
      <c r="AH7" s="15" t="s">
        <v>3</v>
      </c>
      <c r="AJ7" s="16" t="e">
        <f>S63</f>
        <v>#DIV/0!</v>
      </c>
    </row>
    <row r="8" spans="1:39" x14ac:dyDescent="0.35">
      <c r="B8" s="15" t="s">
        <v>11</v>
      </c>
      <c r="O8" s="13"/>
      <c r="X8" s="17"/>
      <c r="Y8" s="18" t="e">
        <f>G4</f>
        <v>#DIV/0!</v>
      </c>
      <c r="Z8" s="19">
        <f>AA8-0.003</f>
        <v>-9.0000000000000011E-3</v>
      </c>
      <c r="AA8" s="19">
        <f>AB8-0.003</f>
        <v>-6.0000000000000001E-3</v>
      </c>
      <c r="AB8" s="19">
        <f>AC8-0.003</f>
        <v>-3.0000000000000001E-3</v>
      </c>
      <c r="AC8" s="20">
        <f>E9</f>
        <v>0</v>
      </c>
      <c r="AD8" s="19">
        <f>AC8+0.003</f>
        <v>3.0000000000000001E-3</v>
      </c>
      <c r="AE8" s="19">
        <f>AD8+0.003</f>
        <v>6.0000000000000001E-3</v>
      </c>
      <c r="AF8" s="19">
        <f>AE8+0.003</f>
        <v>9.0000000000000011E-3</v>
      </c>
      <c r="AH8" s="15" t="s">
        <v>6</v>
      </c>
      <c r="AJ8" s="21" t="e">
        <f>AJ7/AJ6-1</f>
        <v>#DIV/0!</v>
      </c>
    </row>
    <row r="9" spans="1:39" x14ac:dyDescent="0.35">
      <c r="B9" s="3" t="s">
        <v>10</v>
      </c>
      <c r="D9" s="22"/>
      <c r="E9" s="13"/>
      <c r="O9" s="13"/>
      <c r="X9" s="87" t="s">
        <v>12</v>
      </c>
      <c r="Y9" s="23">
        <v>2.5000000000000001E-2</v>
      </c>
      <c r="Z9" s="24" t="e">
        <f t="dataTable" ref="Z9:AF17" dt2D="1" dtr="1" r1="E9" r2="E10" ca="1"/>
        <v>#DIV/0!</v>
      </c>
      <c r="AA9" s="24" t="e">
        <v>#DIV/0!</v>
      </c>
      <c r="AB9" s="24" t="e">
        <v>#DIV/0!</v>
      </c>
      <c r="AC9" s="24" t="e">
        <v>#DIV/0!</v>
      </c>
      <c r="AD9" s="24" t="e">
        <v>#DIV/0!</v>
      </c>
      <c r="AE9" s="24" t="e">
        <v>#DIV/0!</v>
      </c>
      <c r="AF9" s="25" t="e">
        <v>#DIV/0!</v>
      </c>
      <c r="AG9" s="26"/>
      <c r="AH9" s="26"/>
      <c r="AK9" s="26"/>
      <c r="AL9" s="26"/>
      <c r="AM9" s="26"/>
    </row>
    <row r="10" spans="1:39" x14ac:dyDescent="0.35">
      <c r="A10" s="27" t="s">
        <v>1</v>
      </c>
      <c r="B10" s="3" t="s">
        <v>12</v>
      </c>
      <c r="D10" s="22"/>
      <c r="E10" s="13"/>
      <c r="K10" s="83" t="s">
        <v>13</v>
      </c>
      <c r="L10" s="83"/>
      <c r="M10" s="83"/>
      <c r="N10" s="83"/>
      <c r="O10" s="83"/>
      <c r="P10" s="83"/>
      <c r="Q10" s="83"/>
      <c r="R10" s="83"/>
      <c r="X10" s="87"/>
      <c r="Y10" s="23">
        <v>0.03</v>
      </c>
      <c r="Z10" s="24" t="e">
        <v>#DIV/0!</v>
      </c>
      <c r="AA10" s="24" t="e">
        <v>#DIV/0!</v>
      </c>
      <c r="AB10" s="24" t="e">
        <v>#DIV/0!</v>
      </c>
      <c r="AC10" s="24" t="e">
        <v>#DIV/0!</v>
      </c>
      <c r="AD10" s="24" t="e">
        <v>#DIV/0!</v>
      </c>
      <c r="AE10" s="24" t="e">
        <v>#DIV/0!</v>
      </c>
      <c r="AF10" s="25" t="e">
        <v>#DIV/0!</v>
      </c>
      <c r="AG10" s="28"/>
      <c r="AH10" s="88" t="s">
        <v>14</v>
      </c>
      <c r="AI10" s="88"/>
      <c r="AJ10" s="88"/>
      <c r="AK10" s="28"/>
      <c r="AL10" s="28"/>
      <c r="AM10" s="28"/>
    </row>
    <row r="11" spans="1:39" ht="15.75" customHeight="1" outlineLevel="1" x14ac:dyDescent="0.35">
      <c r="J11" s="3">
        <v>1</v>
      </c>
      <c r="K11" s="3">
        <f t="shared" ref="K11:S11" si="0">J11+1</f>
        <v>2</v>
      </c>
      <c r="L11" s="3">
        <f t="shared" si="0"/>
        <v>3</v>
      </c>
      <c r="M11" s="3">
        <f t="shared" si="0"/>
        <v>4</v>
      </c>
      <c r="N11" s="3">
        <f t="shared" si="0"/>
        <v>5</v>
      </c>
      <c r="O11" s="3">
        <f t="shared" si="0"/>
        <v>6</v>
      </c>
      <c r="P11" s="3">
        <f t="shared" si="0"/>
        <v>7</v>
      </c>
      <c r="Q11" s="3">
        <f t="shared" si="0"/>
        <v>8</v>
      </c>
      <c r="R11" s="3">
        <f t="shared" si="0"/>
        <v>9</v>
      </c>
      <c r="S11" s="3">
        <f t="shared" si="0"/>
        <v>10</v>
      </c>
      <c r="X11" s="87"/>
      <c r="Y11" s="23">
        <f>Y12-0.005</f>
        <v>-0.01</v>
      </c>
      <c r="Z11" s="24" t="e">
        <v>#DIV/0!</v>
      </c>
      <c r="AA11" s="24" t="e">
        <v>#DIV/0!</v>
      </c>
      <c r="AB11" s="24" t="e">
        <v>#DIV/0!</v>
      </c>
      <c r="AC11" s="24" t="e">
        <v>#DIV/0!</v>
      </c>
      <c r="AD11" s="24" t="e">
        <v>#DIV/0!</v>
      </c>
      <c r="AE11" s="24" t="e">
        <v>#DIV/0!</v>
      </c>
      <c r="AF11" s="25" t="e">
        <v>#DIV/0!</v>
      </c>
      <c r="AG11" s="28"/>
      <c r="AH11" s="3" t="s">
        <v>5</v>
      </c>
      <c r="AJ11" s="5">
        <f>$G$5</f>
        <v>0</v>
      </c>
      <c r="AK11" s="28"/>
      <c r="AL11" s="28"/>
      <c r="AM11" s="28"/>
    </row>
    <row r="12" spans="1:39" ht="15.75" customHeight="1" outlineLevel="1" x14ac:dyDescent="0.35">
      <c r="A12" s="3" t="s">
        <v>1</v>
      </c>
      <c r="B12" s="11" t="s">
        <v>15</v>
      </c>
      <c r="C12" s="12"/>
      <c r="D12" s="12"/>
      <c r="E12" s="11"/>
      <c r="F12" s="11">
        <f>G12-1</f>
        <v>2022</v>
      </c>
      <c r="G12" s="11">
        <f>H12-1</f>
        <v>2023</v>
      </c>
      <c r="H12" s="11">
        <f>I12-1</f>
        <v>2024</v>
      </c>
      <c r="I12" s="11">
        <v>2025</v>
      </c>
      <c r="J12" s="11">
        <f>I12+1</f>
        <v>2026</v>
      </c>
      <c r="K12" s="11">
        <f t="shared" ref="K12:S12" si="1">J12+1</f>
        <v>2027</v>
      </c>
      <c r="L12" s="11">
        <f t="shared" si="1"/>
        <v>2028</v>
      </c>
      <c r="M12" s="11">
        <f t="shared" si="1"/>
        <v>2029</v>
      </c>
      <c r="N12" s="11">
        <f t="shared" si="1"/>
        <v>2030</v>
      </c>
      <c r="O12" s="11">
        <f t="shared" si="1"/>
        <v>2031</v>
      </c>
      <c r="P12" s="11">
        <f t="shared" si="1"/>
        <v>2032</v>
      </c>
      <c r="Q12" s="11">
        <f t="shared" si="1"/>
        <v>2033</v>
      </c>
      <c r="R12" s="11">
        <f t="shared" si="1"/>
        <v>2034</v>
      </c>
      <c r="S12" s="11">
        <f t="shared" si="1"/>
        <v>2035</v>
      </c>
      <c r="X12" s="87"/>
      <c r="Y12" s="23">
        <f>Y13-0.005</f>
        <v>-5.0000000000000001E-3</v>
      </c>
      <c r="Z12" s="24" t="e">
        <v>#DIV/0!</v>
      </c>
      <c r="AA12" s="24" t="e">
        <v>#DIV/0!</v>
      </c>
      <c r="AB12" s="24" t="e">
        <v>#DIV/0!</v>
      </c>
      <c r="AC12" s="24" t="e">
        <v>#DIV/0!</v>
      </c>
      <c r="AD12" s="29" t="e">
        <v>#DIV/0!</v>
      </c>
      <c r="AE12" s="24" t="e">
        <v>#DIV/0!</v>
      </c>
      <c r="AF12" s="30" t="e">
        <v>#DIV/0!</v>
      </c>
      <c r="AG12" s="28"/>
      <c r="AH12" s="15" t="s">
        <v>3</v>
      </c>
      <c r="AJ12" s="16" t="e">
        <f>AB14</f>
        <v>#DIV/0!</v>
      </c>
      <c r="AK12" s="28"/>
      <c r="AL12" s="28"/>
      <c r="AM12" s="28"/>
    </row>
    <row r="13" spans="1:39" ht="15.75" customHeight="1" outlineLevel="1" x14ac:dyDescent="0.35">
      <c r="A13" s="28"/>
      <c r="B13" s="28" t="s">
        <v>16</v>
      </c>
      <c r="C13" s="28"/>
      <c r="D13" s="28"/>
      <c r="E13" s="31"/>
      <c r="F13" s="32"/>
      <c r="G13" s="32"/>
      <c r="H13" s="32"/>
      <c r="I13" s="33"/>
      <c r="J13" s="34">
        <f t="shared" ref="J13:S13" si="2">I13*(1+J14)</f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  <c r="P13" s="34">
        <f t="shared" si="2"/>
        <v>0</v>
      </c>
      <c r="Q13" s="34">
        <f t="shared" si="2"/>
        <v>0</v>
      </c>
      <c r="R13" s="34">
        <f t="shared" si="2"/>
        <v>0</v>
      </c>
      <c r="S13" s="34">
        <f t="shared" si="2"/>
        <v>0</v>
      </c>
      <c r="X13" s="87"/>
      <c r="Y13" s="35">
        <f>E10</f>
        <v>0</v>
      </c>
      <c r="Z13" s="24" t="e">
        <v>#DIV/0!</v>
      </c>
      <c r="AA13" s="24" t="e">
        <v>#DIV/0!</v>
      </c>
      <c r="AB13" s="24" t="e">
        <v>#DIV/0!</v>
      </c>
      <c r="AC13" s="36" t="e">
        <v>#DIV/0!</v>
      </c>
      <c r="AD13" s="24" t="e">
        <v>#DIV/0!</v>
      </c>
      <c r="AE13" s="24" t="e">
        <v>#DIV/0!</v>
      </c>
      <c r="AF13" s="25" t="e">
        <v>#DIV/0!</v>
      </c>
      <c r="AG13" s="28"/>
      <c r="AH13" s="15" t="s">
        <v>6</v>
      </c>
      <c r="AJ13" s="21" t="e">
        <f>AJ12/AJ11-1</f>
        <v>#DIV/0!</v>
      </c>
      <c r="AK13" s="28"/>
      <c r="AL13" s="28"/>
      <c r="AM13" s="28"/>
    </row>
    <row r="14" spans="1:39" ht="15.75" customHeight="1" outlineLevel="1" x14ac:dyDescent="0.35">
      <c r="A14" s="28"/>
      <c r="B14" s="37" t="s">
        <v>17</v>
      </c>
      <c r="C14" s="28"/>
      <c r="D14" s="28"/>
      <c r="E14" s="38"/>
      <c r="F14" s="39"/>
      <c r="G14" s="39" t="e">
        <f>(G13-F13)/F13</f>
        <v>#DIV/0!</v>
      </c>
      <c r="H14" s="39" t="e">
        <f>(H13-G13)/G13</f>
        <v>#DIV/0!</v>
      </c>
      <c r="I14" s="39" t="e">
        <f>(I13-H13)/H13</f>
        <v>#DIV/0!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X14" s="87"/>
      <c r="Y14" s="23">
        <f>Y13+0.005</f>
        <v>5.0000000000000001E-3</v>
      </c>
      <c r="Z14" s="24" t="e">
        <v>#DIV/0!</v>
      </c>
      <c r="AA14" s="24" t="e">
        <v>#DIV/0!</v>
      </c>
      <c r="AB14" s="42" t="e">
        <v>#DIV/0!</v>
      </c>
      <c r="AC14" s="24" t="e">
        <v>#DIV/0!</v>
      </c>
      <c r="AD14" s="24" t="e">
        <v>#DIV/0!</v>
      </c>
      <c r="AE14" s="24" t="e">
        <v>#DIV/0!</v>
      </c>
      <c r="AF14" s="25" t="e">
        <v>#DIV/0!</v>
      </c>
      <c r="AG14" s="28"/>
      <c r="AH14" s="43"/>
      <c r="AI14" s="28"/>
      <c r="AJ14" s="28"/>
      <c r="AK14" s="28"/>
      <c r="AL14" s="28"/>
      <c r="AM14" s="28"/>
    </row>
    <row r="15" spans="1:39" outlineLevel="1" x14ac:dyDescent="0.35">
      <c r="A15" s="28"/>
      <c r="B15" s="44"/>
      <c r="C15" s="28"/>
      <c r="D15" s="28"/>
      <c r="E15" s="41"/>
      <c r="F15" s="28"/>
      <c r="G15" s="28"/>
      <c r="H15" s="28"/>
      <c r="I15" s="28"/>
      <c r="J15" s="45"/>
      <c r="K15" s="28"/>
      <c r="L15" s="28"/>
      <c r="M15" s="28"/>
      <c r="N15" s="28"/>
      <c r="O15" s="41"/>
      <c r="P15" s="28"/>
      <c r="Q15" s="28"/>
      <c r="R15" s="28"/>
      <c r="X15" s="87"/>
      <c r="Y15" s="23">
        <f>Y14+0.005</f>
        <v>0.01</v>
      </c>
      <c r="Z15" s="24" t="e">
        <v>#DIV/0!</v>
      </c>
      <c r="AA15" s="24" t="e">
        <v>#DIV/0!</v>
      </c>
      <c r="AB15" s="24" t="e">
        <v>#DIV/0!</v>
      </c>
      <c r="AC15" s="24" t="e">
        <v>#DIV/0!</v>
      </c>
      <c r="AD15" s="24" t="e">
        <v>#DIV/0!</v>
      </c>
      <c r="AE15" s="24" t="e">
        <v>#DIV/0!</v>
      </c>
      <c r="AF15" s="25" t="e">
        <v>#DIV/0!</v>
      </c>
      <c r="AG15" s="28"/>
      <c r="AH15" s="89" t="s">
        <v>18</v>
      </c>
      <c r="AI15" s="89"/>
      <c r="AJ15" s="89"/>
      <c r="AK15" s="28"/>
      <c r="AL15" s="28"/>
      <c r="AM15" s="28"/>
    </row>
    <row r="16" spans="1:39" outlineLevel="1" x14ac:dyDescent="0.35">
      <c r="A16" s="28"/>
      <c r="B16" s="28" t="s">
        <v>19</v>
      </c>
      <c r="C16" s="28"/>
      <c r="D16" s="28"/>
      <c r="E16" s="31"/>
      <c r="F16" s="32"/>
      <c r="G16" s="32"/>
      <c r="H16" s="32"/>
      <c r="I16" s="32"/>
      <c r="J16" s="46">
        <f t="shared" ref="J16:S16" si="3">J17*J13</f>
        <v>0</v>
      </c>
      <c r="K16" s="46">
        <f t="shared" si="3"/>
        <v>0</v>
      </c>
      <c r="L16" s="46">
        <f t="shared" si="3"/>
        <v>0</v>
      </c>
      <c r="M16" s="46">
        <f t="shared" si="3"/>
        <v>0</v>
      </c>
      <c r="N16" s="46">
        <f t="shared" si="3"/>
        <v>0</v>
      </c>
      <c r="O16" s="46">
        <f t="shared" si="3"/>
        <v>0</v>
      </c>
      <c r="P16" s="46">
        <f t="shared" si="3"/>
        <v>0</v>
      </c>
      <c r="Q16" s="46">
        <f t="shared" si="3"/>
        <v>0</v>
      </c>
      <c r="R16" s="46">
        <f t="shared" si="3"/>
        <v>0</v>
      </c>
      <c r="S16" s="46">
        <f t="shared" si="3"/>
        <v>0</v>
      </c>
      <c r="X16" s="87"/>
      <c r="Y16" s="23">
        <f>Y15+0.005</f>
        <v>1.4999999999999999E-2</v>
      </c>
      <c r="Z16" s="24" t="e">
        <v>#DIV/0!</v>
      </c>
      <c r="AA16" s="24" t="e">
        <v>#DIV/0!</v>
      </c>
      <c r="AB16" s="24" t="e">
        <v>#DIV/0!</v>
      </c>
      <c r="AC16" s="24" t="e">
        <v>#DIV/0!</v>
      </c>
      <c r="AD16" s="24" t="e">
        <v>#DIV/0!</v>
      </c>
      <c r="AE16" s="24" t="e">
        <v>#DIV/0!</v>
      </c>
      <c r="AF16" s="25" t="e">
        <v>#DIV/0!</v>
      </c>
      <c r="AG16" s="28"/>
      <c r="AH16" s="3" t="s">
        <v>5</v>
      </c>
      <c r="AJ16" s="5">
        <f>$G$5</f>
        <v>0</v>
      </c>
      <c r="AK16" s="28"/>
      <c r="AL16" s="28"/>
      <c r="AM16" s="28"/>
    </row>
    <row r="17" spans="1:39" ht="15.75" customHeight="1" outlineLevel="1" x14ac:dyDescent="0.35">
      <c r="A17" s="28"/>
      <c r="B17" s="37" t="s">
        <v>20</v>
      </c>
      <c r="C17" s="28"/>
      <c r="D17" s="28"/>
      <c r="E17" s="38"/>
      <c r="F17" s="39" t="e">
        <f>F16/F13</f>
        <v>#DIV/0!</v>
      </c>
      <c r="G17" s="39" t="e">
        <f>G16/G13</f>
        <v>#DIV/0!</v>
      </c>
      <c r="H17" s="39" t="e">
        <f>H16/H13</f>
        <v>#DIV/0!</v>
      </c>
      <c r="I17" s="39" t="e">
        <f>I16/I13</f>
        <v>#DIV/0!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X17" s="87"/>
      <c r="Y17" s="23">
        <f>Y16+0.005</f>
        <v>0.02</v>
      </c>
      <c r="Z17" s="47" t="e">
        <v>#DIV/0!</v>
      </c>
      <c r="AA17" s="47" t="e">
        <v>#DIV/0!</v>
      </c>
      <c r="AB17" s="47" t="e">
        <v>#DIV/0!</v>
      </c>
      <c r="AC17" s="47" t="e">
        <v>#DIV/0!</v>
      </c>
      <c r="AD17" s="47" t="e">
        <v>#DIV/0!</v>
      </c>
      <c r="AE17" s="47" t="e">
        <v>#DIV/0!</v>
      </c>
      <c r="AF17" s="48" t="e">
        <v>#DIV/0!</v>
      </c>
      <c r="AG17" s="28"/>
      <c r="AH17" s="15" t="s">
        <v>3</v>
      </c>
      <c r="AJ17" s="16" t="e">
        <f>AD12</f>
        <v>#DIV/0!</v>
      </c>
      <c r="AK17" s="28"/>
      <c r="AL17" s="28"/>
      <c r="AM17" s="28"/>
    </row>
    <row r="18" spans="1:39" outlineLevel="1" x14ac:dyDescent="0.35">
      <c r="A18" s="28"/>
      <c r="B18" s="28"/>
      <c r="C18" s="28"/>
      <c r="D18" s="28"/>
      <c r="E18" s="41"/>
      <c r="F18" s="28"/>
      <c r="G18" s="28"/>
      <c r="H18" s="28"/>
      <c r="I18" s="28"/>
      <c r="J18" s="45"/>
      <c r="K18" s="28"/>
      <c r="L18" s="28"/>
      <c r="M18" s="28"/>
      <c r="N18" s="28"/>
      <c r="O18" s="45"/>
      <c r="P18" s="28"/>
      <c r="Q18" s="28"/>
      <c r="R18" s="28"/>
      <c r="S18" s="28"/>
      <c r="X18" s="49"/>
      <c r="Y18" s="50">
        <v>0.08</v>
      </c>
      <c r="Z18" s="51">
        <v>-1259.16157299778</v>
      </c>
      <c r="AA18" s="51">
        <v>-2097.9138727675299</v>
      </c>
      <c r="AB18" s="51">
        <v>-6291.6959886290397</v>
      </c>
      <c r="AC18" s="51">
        <v>5241.2244977996797</v>
      </c>
      <c r="AD18" s="51">
        <v>5241.2244977996797</v>
      </c>
      <c r="AE18" s="51">
        <v>1257.1362081754301</v>
      </c>
      <c r="AF18" s="51">
        <v>897.67373261407704</v>
      </c>
      <c r="AG18" s="28"/>
      <c r="AH18" s="15" t="s">
        <v>6</v>
      </c>
      <c r="AJ18" s="52" t="e">
        <f>AJ17/AJ16-1</f>
        <v>#DIV/0!</v>
      </c>
      <c r="AK18" s="28"/>
      <c r="AL18" s="28"/>
      <c r="AM18" s="28"/>
    </row>
    <row r="19" spans="1:39" outlineLevel="1" x14ac:dyDescent="0.35">
      <c r="A19" s="28"/>
      <c r="B19" s="28" t="s">
        <v>21</v>
      </c>
      <c r="C19" s="28"/>
      <c r="D19" s="28"/>
      <c r="E19" s="31"/>
      <c r="F19" s="32"/>
      <c r="G19" s="32"/>
      <c r="H19" s="32"/>
      <c r="I19" s="32"/>
      <c r="J19" s="46">
        <f t="shared" ref="J19:S19" si="4">J20*J16</f>
        <v>0</v>
      </c>
      <c r="K19" s="46">
        <f t="shared" si="4"/>
        <v>0</v>
      </c>
      <c r="L19" s="46">
        <f t="shared" si="4"/>
        <v>0</v>
      </c>
      <c r="M19" s="46">
        <f t="shared" si="4"/>
        <v>0</v>
      </c>
      <c r="N19" s="46">
        <f t="shared" si="4"/>
        <v>0</v>
      </c>
      <c r="O19" s="46">
        <f t="shared" si="4"/>
        <v>0</v>
      </c>
      <c r="P19" s="46">
        <f t="shared" si="4"/>
        <v>0</v>
      </c>
      <c r="Q19" s="46">
        <f t="shared" si="4"/>
        <v>0</v>
      </c>
      <c r="R19" s="46">
        <f t="shared" si="4"/>
        <v>0</v>
      </c>
      <c r="S19" s="46">
        <f t="shared" si="4"/>
        <v>0</v>
      </c>
      <c r="T19" s="26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1:39" outlineLevel="1" x14ac:dyDescent="0.35">
      <c r="A20" s="28"/>
      <c r="B20" s="37" t="s">
        <v>22</v>
      </c>
      <c r="C20" s="28"/>
      <c r="D20" s="28"/>
      <c r="E20" s="38"/>
      <c r="F20" s="39" t="e">
        <f>F19/F16</f>
        <v>#DIV/0!</v>
      </c>
      <c r="G20" s="39" t="e">
        <f>G19/G16</f>
        <v>#DIV/0!</v>
      </c>
      <c r="H20" s="39" t="e">
        <f>H19/H16</f>
        <v>#DIV/0!</v>
      </c>
      <c r="I20" s="39" t="e">
        <f>I19/I16</f>
        <v>#DIV/0!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28"/>
      <c r="U20" s="28"/>
      <c r="V20" s="28"/>
      <c r="W20" s="28"/>
      <c r="X20" s="28"/>
    </row>
    <row r="21" spans="1:39" ht="15.75" customHeight="1" outlineLevel="1" x14ac:dyDescent="0.35">
      <c r="A21" s="28"/>
      <c r="B21" s="28"/>
      <c r="C21" s="28"/>
      <c r="D21" s="28"/>
      <c r="E21" s="41"/>
      <c r="F21" s="28"/>
      <c r="G21" s="28"/>
      <c r="H21" s="28"/>
      <c r="I21" s="28"/>
      <c r="J21" s="45"/>
      <c r="K21" s="28"/>
      <c r="L21" s="28"/>
      <c r="M21" s="28"/>
      <c r="N21" s="28"/>
      <c r="O21" s="41"/>
      <c r="P21" s="28"/>
      <c r="Q21" s="28"/>
      <c r="R21" s="28"/>
      <c r="S21" s="28"/>
      <c r="T21" s="28"/>
      <c r="U21" s="28"/>
      <c r="V21" s="28"/>
      <c r="W21" s="28"/>
      <c r="X21" s="28"/>
    </row>
    <row r="22" spans="1:39" ht="15.75" customHeight="1" outlineLevel="1" x14ac:dyDescent="0.35">
      <c r="A22" s="3" t="s">
        <v>1</v>
      </c>
      <c r="B22" s="11" t="s">
        <v>23</v>
      </c>
      <c r="C22" s="12"/>
      <c r="D22" s="1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39" ht="15.75" customHeight="1" outlineLevel="1" x14ac:dyDescent="0.35">
      <c r="A23" s="28"/>
      <c r="B23" s="3" t="s">
        <v>24</v>
      </c>
      <c r="E23" s="31"/>
      <c r="F23" s="32"/>
      <c r="G23" s="32"/>
      <c r="H23" s="32"/>
      <c r="I23" s="32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28"/>
      <c r="U23" s="28"/>
      <c r="V23" s="28"/>
      <c r="W23" s="28"/>
      <c r="X23" s="28"/>
    </row>
    <row r="24" spans="1:39" ht="15.75" customHeight="1" outlineLevel="1" x14ac:dyDescent="0.35">
      <c r="A24" s="28"/>
      <c r="B24" s="53" t="s">
        <v>20</v>
      </c>
      <c r="E24" s="54"/>
      <c r="F24" s="55" t="e">
        <f t="shared" ref="F24:S24" si="5">F23/F13</f>
        <v>#DIV/0!</v>
      </c>
      <c r="G24" s="55" t="e">
        <f t="shared" si="5"/>
        <v>#DIV/0!</v>
      </c>
      <c r="H24" s="55" t="e">
        <f t="shared" si="5"/>
        <v>#DIV/0!</v>
      </c>
      <c r="I24" s="55" t="e">
        <f t="shared" si="5"/>
        <v>#DIV/0!</v>
      </c>
      <c r="J24" s="55" t="e">
        <f t="shared" si="5"/>
        <v>#DIV/0!</v>
      </c>
      <c r="K24" s="55" t="e">
        <f t="shared" si="5"/>
        <v>#DIV/0!</v>
      </c>
      <c r="L24" s="55" t="e">
        <f t="shared" si="5"/>
        <v>#DIV/0!</v>
      </c>
      <c r="M24" s="55" t="e">
        <f t="shared" si="5"/>
        <v>#DIV/0!</v>
      </c>
      <c r="N24" s="55" t="e">
        <f t="shared" si="5"/>
        <v>#DIV/0!</v>
      </c>
      <c r="O24" s="55" t="e">
        <f t="shared" si="5"/>
        <v>#DIV/0!</v>
      </c>
      <c r="P24" s="55" t="e">
        <f t="shared" si="5"/>
        <v>#DIV/0!</v>
      </c>
      <c r="Q24" s="55" t="e">
        <f t="shared" si="5"/>
        <v>#DIV/0!</v>
      </c>
      <c r="R24" s="55" t="e">
        <f t="shared" si="5"/>
        <v>#DIV/0!</v>
      </c>
      <c r="S24" s="55" t="e">
        <f t="shared" si="5"/>
        <v>#DIV/0!</v>
      </c>
      <c r="T24" s="28"/>
      <c r="U24" s="28"/>
      <c r="V24" s="28"/>
      <c r="W24" s="28"/>
      <c r="X24" s="28"/>
    </row>
    <row r="25" spans="1:39" ht="15.75" customHeight="1" outlineLevel="1" x14ac:dyDescent="0.35">
      <c r="A25" s="28"/>
      <c r="E25" s="13"/>
      <c r="J25" s="3"/>
      <c r="O25" s="41"/>
      <c r="P25" s="41"/>
      <c r="Q25" s="41"/>
      <c r="R25" s="41"/>
      <c r="S25" s="41"/>
      <c r="T25" s="28"/>
      <c r="U25" s="28"/>
      <c r="V25" s="28"/>
      <c r="W25" s="28"/>
      <c r="X25" s="28"/>
    </row>
    <row r="26" spans="1:39" ht="15.75" customHeight="1" outlineLevel="1" x14ac:dyDescent="0.35">
      <c r="A26" s="28"/>
      <c r="B26" s="3" t="s">
        <v>25</v>
      </c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28"/>
      <c r="U26" s="28"/>
      <c r="V26" s="28"/>
      <c r="W26" s="28"/>
      <c r="X26" s="28"/>
    </row>
    <row r="27" spans="1:39" ht="15.75" customHeight="1" outlineLevel="1" x14ac:dyDescent="0.35">
      <c r="A27" s="28"/>
      <c r="B27" s="53" t="s">
        <v>20</v>
      </c>
      <c r="E27" s="54"/>
      <c r="F27" s="55" t="e">
        <f t="shared" ref="F27:S27" si="6">F26/F13</f>
        <v>#DIV/0!</v>
      </c>
      <c r="G27" s="55" t="e">
        <f t="shared" si="6"/>
        <v>#DIV/0!</v>
      </c>
      <c r="H27" s="55" t="e">
        <f t="shared" si="6"/>
        <v>#DIV/0!</v>
      </c>
      <c r="I27" s="55" t="e">
        <f t="shared" si="6"/>
        <v>#DIV/0!</v>
      </c>
      <c r="J27" s="55" t="e">
        <f t="shared" si="6"/>
        <v>#DIV/0!</v>
      </c>
      <c r="K27" s="55" t="e">
        <f t="shared" si="6"/>
        <v>#DIV/0!</v>
      </c>
      <c r="L27" s="55" t="e">
        <f t="shared" si="6"/>
        <v>#DIV/0!</v>
      </c>
      <c r="M27" s="55" t="e">
        <f t="shared" si="6"/>
        <v>#DIV/0!</v>
      </c>
      <c r="N27" s="55" t="e">
        <f t="shared" si="6"/>
        <v>#DIV/0!</v>
      </c>
      <c r="O27" s="55" t="e">
        <f t="shared" si="6"/>
        <v>#DIV/0!</v>
      </c>
      <c r="P27" s="55" t="e">
        <f t="shared" si="6"/>
        <v>#DIV/0!</v>
      </c>
      <c r="Q27" s="55" t="e">
        <f t="shared" si="6"/>
        <v>#DIV/0!</v>
      </c>
      <c r="R27" s="55" t="e">
        <f t="shared" si="6"/>
        <v>#DIV/0!</v>
      </c>
      <c r="S27" s="55" t="e">
        <f t="shared" si="6"/>
        <v>#DIV/0!</v>
      </c>
      <c r="T27" s="28"/>
      <c r="U27" s="28"/>
      <c r="V27" s="28"/>
      <c r="W27" s="28"/>
      <c r="X27" s="28"/>
    </row>
    <row r="28" spans="1:39" ht="15.75" customHeight="1" outlineLevel="1" x14ac:dyDescent="0.35">
      <c r="A28" s="28"/>
      <c r="E28" s="13"/>
      <c r="F28" s="56"/>
      <c r="G28" s="56"/>
      <c r="H28" s="56"/>
      <c r="I28" s="56"/>
      <c r="J28" s="57"/>
      <c r="O28" s="41"/>
      <c r="P28" s="41"/>
      <c r="Q28" s="41"/>
      <c r="R28" s="41"/>
      <c r="S28" s="41"/>
      <c r="T28" s="28"/>
      <c r="U28" s="28"/>
      <c r="V28" s="28"/>
      <c r="W28" s="28"/>
      <c r="X28" s="28"/>
    </row>
    <row r="29" spans="1:39" ht="15.75" customHeight="1" outlineLevel="1" x14ac:dyDescent="0.35">
      <c r="A29" s="58" t="s">
        <v>1</v>
      </c>
      <c r="B29" s="3" t="s">
        <v>26</v>
      </c>
      <c r="E29" s="31"/>
      <c r="F29" s="32"/>
      <c r="G29" s="32"/>
      <c r="H29" s="32"/>
      <c r="I29" s="32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28"/>
      <c r="U29" s="28"/>
      <c r="V29" s="28"/>
      <c r="W29" s="28"/>
      <c r="X29" s="28"/>
    </row>
    <row r="30" spans="1:39" ht="15.75" customHeight="1" outlineLevel="1" x14ac:dyDescent="0.35">
      <c r="A30" s="28"/>
      <c r="B30" s="53" t="s">
        <v>20</v>
      </c>
      <c r="E30" s="59"/>
      <c r="F30" s="60" t="e">
        <f t="shared" ref="F30:S30" si="7">F29/F13</f>
        <v>#DIV/0!</v>
      </c>
      <c r="G30" s="60" t="e">
        <f t="shared" si="7"/>
        <v>#DIV/0!</v>
      </c>
      <c r="H30" s="60" t="e">
        <f t="shared" si="7"/>
        <v>#DIV/0!</v>
      </c>
      <c r="I30" s="60" t="e">
        <f t="shared" si="7"/>
        <v>#DIV/0!</v>
      </c>
      <c r="J30" s="60" t="e">
        <f t="shared" si="7"/>
        <v>#DIV/0!</v>
      </c>
      <c r="K30" s="60" t="e">
        <f t="shared" si="7"/>
        <v>#DIV/0!</v>
      </c>
      <c r="L30" s="60" t="e">
        <f t="shared" si="7"/>
        <v>#DIV/0!</v>
      </c>
      <c r="M30" s="60" t="e">
        <f t="shared" si="7"/>
        <v>#DIV/0!</v>
      </c>
      <c r="N30" s="60" t="e">
        <f t="shared" si="7"/>
        <v>#DIV/0!</v>
      </c>
      <c r="O30" s="60" t="e">
        <f t="shared" si="7"/>
        <v>#DIV/0!</v>
      </c>
      <c r="P30" s="60" t="e">
        <f t="shared" si="7"/>
        <v>#DIV/0!</v>
      </c>
      <c r="Q30" s="60" t="e">
        <f t="shared" si="7"/>
        <v>#DIV/0!</v>
      </c>
      <c r="R30" s="60" t="e">
        <f t="shared" si="7"/>
        <v>#DIV/0!</v>
      </c>
      <c r="S30" s="60" t="e">
        <f t="shared" si="7"/>
        <v>#DIV/0!</v>
      </c>
      <c r="T30" s="28"/>
      <c r="U30" s="28"/>
      <c r="V30" s="28"/>
      <c r="W30" s="28"/>
      <c r="X30" s="28"/>
    </row>
    <row r="31" spans="1:39" ht="15.75" customHeight="1" x14ac:dyDescent="0.35">
      <c r="E31" s="13"/>
      <c r="J31" s="57"/>
      <c r="K31" s="3"/>
      <c r="L31" s="3"/>
      <c r="M31" s="3"/>
      <c r="N31" s="3"/>
      <c r="O31" s="13"/>
    </row>
    <row r="32" spans="1:39" ht="15.75" customHeight="1" x14ac:dyDescent="0.35">
      <c r="A32" s="3" t="s">
        <v>1</v>
      </c>
      <c r="B32" s="11" t="s">
        <v>27</v>
      </c>
      <c r="C32" s="12"/>
      <c r="D32" s="12"/>
      <c r="E32" s="11"/>
      <c r="F32" s="11">
        <f t="shared" ref="F32:S32" si="8">F12</f>
        <v>2022</v>
      </c>
      <c r="G32" s="11">
        <f t="shared" si="8"/>
        <v>2023</v>
      </c>
      <c r="H32" s="11">
        <f t="shared" si="8"/>
        <v>2024</v>
      </c>
      <c r="I32" s="11">
        <f t="shared" si="8"/>
        <v>2025</v>
      </c>
      <c r="J32" s="11">
        <f t="shared" si="8"/>
        <v>2026</v>
      </c>
      <c r="K32" s="11">
        <f t="shared" si="8"/>
        <v>2027</v>
      </c>
      <c r="L32" s="11">
        <f t="shared" si="8"/>
        <v>2028</v>
      </c>
      <c r="M32" s="11">
        <f t="shared" si="8"/>
        <v>2029</v>
      </c>
      <c r="N32" s="11">
        <f t="shared" si="8"/>
        <v>2030</v>
      </c>
      <c r="O32" s="11">
        <f t="shared" si="8"/>
        <v>2031</v>
      </c>
      <c r="P32" s="11">
        <f t="shared" si="8"/>
        <v>2032</v>
      </c>
      <c r="Q32" s="11">
        <f t="shared" si="8"/>
        <v>2033</v>
      </c>
      <c r="R32" s="11">
        <f t="shared" si="8"/>
        <v>2034</v>
      </c>
      <c r="S32" s="11">
        <f t="shared" si="8"/>
        <v>2035</v>
      </c>
    </row>
    <row r="33" spans="2:30" ht="15.75" customHeight="1" x14ac:dyDescent="0.35">
      <c r="B33" s="28" t="s">
        <v>16</v>
      </c>
      <c r="C33" s="28"/>
      <c r="D33" s="28"/>
      <c r="E33" s="31"/>
      <c r="F33" s="32">
        <f t="shared" ref="F33:S33" si="9">F13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</row>
    <row r="34" spans="2:30" ht="15.75" customHeight="1" x14ac:dyDescent="0.35">
      <c r="B34" s="37" t="s">
        <v>17</v>
      </c>
      <c r="C34" s="28"/>
      <c r="D34" s="28"/>
      <c r="E34" s="13"/>
      <c r="F34" s="39"/>
      <c r="G34" s="39" t="e">
        <f>G33/F33-1</f>
        <v>#DIV/0!</v>
      </c>
      <c r="H34" s="39" t="e">
        <f>H33/G33-1</f>
        <v>#DIV/0!</v>
      </c>
      <c r="I34" s="39" t="e">
        <f>I33/H33-1</f>
        <v>#DIV/0!</v>
      </c>
      <c r="J34" s="40">
        <f t="shared" ref="J34:S34" si="10">J14</f>
        <v>0</v>
      </c>
      <c r="K34" s="39">
        <f t="shared" si="10"/>
        <v>0</v>
      </c>
      <c r="L34" s="39">
        <f t="shared" si="10"/>
        <v>0</v>
      </c>
      <c r="M34" s="39">
        <f t="shared" si="10"/>
        <v>0</v>
      </c>
      <c r="N34" s="39">
        <f t="shared" si="10"/>
        <v>0</v>
      </c>
      <c r="O34" s="39">
        <f t="shared" si="10"/>
        <v>0</v>
      </c>
      <c r="P34" s="39">
        <f t="shared" si="10"/>
        <v>0</v>
      </c>
      <c r="Q34" s="39">
        <f t="shared" si="10"/>
        <v>0</v>
      </c>
      <c r="R34" s="39">
        <f t="shared" si="10"/>
        <v>0</v>
      </c>
      <c r="S34" s="39">
        <f t="shared" si="10"/>
        <v>0</v>
      </c>
    </row>
    <row r="35" spans="2:30" ht="15.75" customHeight="1" x14ac:dyDescent="0.35">
      <c r="B35" s="44"/>
      <c r="C35" s="28"/>
      <c r="D35" s="28"/>
      <c r="E35" s="41"/>
      <c r="F35" s="28"/>
      <c r="G35" s="28"/>
      <c r="H35" s="28"/>
      <c r="I35" s="28"/>
      <c r="J35" s="45"/>
      <c r="K35" s="28"/>
      <c r="L35" s="28"/>
      <c r="M35" s="28"/>
      <c r="N35" s="28"/>
      <c r="O35" s="13"/>
    </row>
    <row r="36" spans="2:30" ht="15.75" customHeight="1" x14ac:dyDescent="0.35">
      <c r="B36" s="28" t="s">
        <v>19</v>
      </c>
      <c r="C36" s="28"/>
      <c r="D36" s="28"/>
      <c r="E36" s="31"/>
      <c r="F36" s="32">
        <f t="shared" ref="F36:S36" si="11">F16</f>
        <v>0</v>
      </c>
      <c r="G36" s="32">
        <f t="shared" si="11"/>
        <v>0</v>
      </c>
      <c r="H36" s="32">
        <f t="shared" si="11"/>
        <v>0</v>
      </c>
      <c r="I36" s="32">
        <f t="shared" si="11"/>
        <v>0</v>
      </c>
      <c r="J36" s="32">
        <f t="shared" si="11"/>
        <v>0</v>
      </c>
      <c r="K36" s="32">
        <f t="shared" si="11"/>
        <v>0</v>
      </c>
      <c r="L36" s="32">
        <f t="shared" si="11"/>
        <v>0</v>
      </c>
      <c r="M36" s="32">
        <f t="shared" si="11"/>
        <v>0</v>
      </c>
      <c r="N36" s="32">
        <f t="shared" si="11"/>
        <v>0</v>
      </c>
      <c r="O36" s="32">
        <f t="shared" si="11"/>
        <v>0</v>
      </c>
      <c r="P36" s="32">
        <f t="shared" si="11"/>
        <v>0</v>
      </c>
      <c r="Q36" s="32">
        <f t="shared" si="11"/>
        <v>0</v>
      </c>
      <c r="R36" s="32">
        <f t="shared" si="11"/>
        <v>0</v>
      </c>
      <c r="S36" s="32">
        <f t="shared" si="11"/>
        <v>0</v>
      </c>
    </row>
    <row r="37" spans="2:30" ht="15.75" customHeight="1" x14ac:dyDescent="0.35">
      <c r="B37" s="37" t="s">
        <v>20</v>
      </c>
      <c r="C37" s="28"/>
      <c r="D37" s="28"/>
      <c r="E37" s="38"/>
      <c r="F37" s="39" t="e">
        <f>F36/F33</f>
        <v>#DIV/0!</v>
      </c>
      <c r="G37" s="39" t="e">
        <f>G36/G33</f>
        <v>#DIV/0!</v>
      </c>
      <c r="H37" s="39" t="e">
        <f>H36/H33</f>
        <v>#DIV/0!</v>
      </c>
      <c r="I37" s="39" t="e">
        <f>I36/I33</f>
        <v>#DIV/0!</v>
      </c>
      <c r="J37" s="40">
        <f t="shared" ref="J37:S37" si="12">J17</f>
        <v>0</v>
      </c>
      <c r="K37" s="39">
        <f t="shared" si="12"/>
        <v>0</v>
      </c>
      <c r="L37" s="39">
        <f t="shared" si="12"/>
        <v>0</v>
      </c>
      <c r="M37" s="39">
        <f t="shared" si="12"/>
        <v>0</v>
      </c>
      <c r="N37" s="39">
        <f t="shared" si="12"/>
        <v>0</v>
      </c>
      <c r="O37" s="39">
        <f t="shared" si="12"/>
        <v>0</v>
      </c>
      <c r="P37" s="39">
        <f t="shared" si="12"/>
        <v>0</v>
      </c>
      <c r="Q37" s="39">
        <f t="shared" si="12"/>
        <v>0</v>
      </c>
      <c r="R37" s="39">
        <f t="shared" si="12"/>
        <v>0</v>
      </c>
      <c r="S37" s="39">
        <f t="shared" si="12"/>
        <v>0</v>
      </c>
    </row>
    <row r="38" spans="2:30" ht="15.75" customHeight="1" x14ac:dyDescent="0.35">
      <c r="B38" s="28"/>
      <c r="C38" s="28"/>
      <c r="D38" s="28"/>
      <c r="E38" s="41"/>
      <c r="F38" s="28"/>
      <c r="G38" s="28"/>
      <c r="H38" s="28"/>
      <c r="I38" s="28"/>
      <c r="J38" s="45"/>
      <c r="K38" s="28"/>
      <c r="L38" s="28"/>
      <c r="M38" s="28"/>
      <c r="N38" s="28"/>
      <c r="O38" s="13"/>
      <c r="T38" s="28"/>
    </row>
    <row r="39" spans="2:30" ht="15.75" customHeight="1" x14ac:dyDescent="0.35">
      <c r="B39" s="28" t="s">
        <v>21</v>
      </c>
      <c r="C39" s="28"/>
      <c r="D39" s="28"/>
      <c r="E39" s="31"/>
      <c r="F39" s="32">
        <f t="shared" ref="F39:S39" si="13">F19</f>
        <v>0</v>
      </c>
      <c r="G39" s="32">
        <f t="shared" si="13"/>
        <v>0</v>
      </c>
      <c r="H39" s="32">
        <f t="shared" si="13"/>
        <v>0</v>
      </c>
      <c r="I39" s="32">
        <f t="shared" si="13"/>
        <v>0</v>
      </c>
      <c r="J39" s="32">
        <f t="shared" si="13"/>
        <v>0</v>
      </c>
      <c r="K39" s="32">
        <f t="shared" si="13"/>
        <v>0</v>
      </c>
      <c r="L39" s="32">
        <f t="shared" si="13"/>
        <v>0</v>
      </c>
      <c r="M39" s="32">
        <f t="shared" si="13"/>
        <v>0</v>
      </c>
      <c r="N39" s="32">
        <f t="shared" si="13"/>
        <v>0</v>
      </c>
      <c r="O39" s="32">
        <f t="shared" si="13"/>
        <v>0</v>
      </c>
      <c r="P39" s="32">
        <f t="shared" si="13"/>
        <v>0</v>
      </c>
      <c r="Q39" s="32">
        <f t="shared" si="13"/>
        <v>0</v>
      </c>
      <c r="R39" s="32">
        <f t="shared" si="13"/>
        <v>0</v>
      </c>
      <c r="S39" s="32">
        <f t="shared" si="13"/>
        <v>0</v>
      </c>
      <c r="T39" s="28"/>
    </row>
    <row r="40" spans="2:30" ht="15.75" customHeight="1" x14ac:dyDescent="0.35">
      <c r="B40" s="37" t="s">
        <v>22</v>
      </c>
      <c r="C40" s="28"/>
      <c r="D40" s="28"/>
      <c r="E40" s="38"/>
      <c r="F40" s="39" t="e">
        <f>F39/F36</f>
        <v>#DIV/0!</v>
      </c>
      <c r="G40" s="39" t="e">
        <f>G39/G36</f>
        <v>#DIV/0!</v>
      </c>
      <c r="H40" s="39" t="e">
        <f>H39/H36</f>
        <v>#DIV/0!</v>
      </c>
      <c r="I40" s="39" t="e">
        <f>I39/I36</f>
        <v>#DIV/0!</v>
      </c>
      <c r="J40" s="40">
        <f t="shared" ref="J40:S40" si="14">J20</f>
        <v>0</v>
      </c>
      <c r="K40" s="39">
        <f t="shared" si="14"/>
        <v>0</v>
      </c>
      <c r="L40" s="39">
        <f t="shared" si="14"/>
        <v>0</v>
      </c>
      <c r="M40" s="39">
        <f t="shared" si="14"/>
        <v>0</v>
      </c>
      <c r="N40" s="39">
        <f t="shared" si="14"/>
        <v>0</v>
      </c>
      <c r="O40" s="39">
        <f t="shared" si="14"/>
        <v>0</v>
      </c>
      <c r="P40" s="39">
        <f t="shared" si="14"/>
        <v>0</v>
      </c>
      <c r="Q40" s="39">
        <f t="shared" si="14"/>
        <v>0</v>
      </c>
      <c r="R40" s="39">
        <f t="shared" si="14"/>
        <v>0</v>
      </c>
      <c r="S40" s="39">
        <f t="shared" si="14"/>
        <v>0</v>
      </c>
      <c r="T40" s="28"/>
    </row>
    <row r="41" spans="2:30" ht="15.75" customHeight="1" x14ac:dyDescent="0.35">
      <c r="E41" s="13"/>
      <c r="J41" s="57"/>
      <c r="O41" s="13"/>
      <c r="R41" s="61"/>
      <c r="S41" s="61"/>
      <c r="T41" s="61"/>
    </row>
    <row r="42" spans="2:30" ht="15.75" customHeight="1" x14ac:dyDescent="0.35">
      <c r="B42" s="62" t="s">
        <v>28</v>
      </c>
      <c r="C42" s="63"/>
      <c r="D42" s="63"/>
      <c r="E42" s="64"/>
      <c r="F42" s="64">
        <f t="shared" ref="F42:S42" si="15">F36-F39</f>
        <v>0</v>
      </c>
      <c r="G42" s="64">
        <f t="shared" si="15"/>
        <v>0</v>
      </c>
      <c r="H42" s="64">
        <f t="shared" si="15"/>
        <v>0</v>
      </c>
      <c r="I42" s="64">
        <f t="shared" si="15"/>
        <v>0</v>
      </c>
      <c r="J42" s="65">
        <f t="shared" si="15"/>
        <v>0</v>
      </c>
      <c r="K42" s="64">
        <f t="shared" si="15"/>
        <v>0</v>
      </c>
      <c r="L42" s="64">
        <f t="shared" si="15"/>
        <v>0</v>
      </c>
      <c r="M42" s="64">
        <f t="shared" si="15"/>
        <v>0</v>
      </c>
      <c r="N42" s="64">
        <f t="shared" si="15"/>
        <v>0</v>
      </c>
      <c r="O42" s="64">
        <f t="shared" si="15"/>
        <v>0</v>
      </c>
      <c r="P42" s="64">
        <f t="shared" si="15"/>
        <v>0</v>
      </c>
      <c r="Q42" s="64">
        <f t="shared" si="15"/>
        <v>0</v>
      </c>
      <c r="R42" s="64">
        <f t="shared" si="15"/>
        <v>0</v>
      </c>
      <c r="S42" s="64">
        <f t="shared" si="15"/>
        <v>0</v>
      </c>
      <c r="T42" s="66"/>
    </row>
    <row r="43" spans="2:30" ht="15.75" customHeight="1" x14ac:dyDescent="0.35">
      <c r="E43" s="13"/>
      <c r="J43" s="57"/>
      <c r="K43" s="67"/>
      <c r="O43" s="13"/>
      <c r="R43" s="28"/>
      <c r="S43" s="28"/>
      <c r="T43" s="28"/>
    </row>
    <row r="44" spans="2:30" ht="15.75" customHeight="1" x14ac:dyDescent="0.35">
      <c r="B44" s="3" t="s">
        <v>24</v>
      </c>
      <c r="E44" s="31"/>
      <c r="F44" s="32">
        <f t="shared" ref="F44:S44" si="16">F23</f>
        <v>0</v>
      </c>
      <c r="G44" s="32">
        <f t="shared" si="16"/>
        <v>0</v>
      </c>
      <c r="H44" s="32">
        <f t="shared" si="16"/>
        <v>0</v>
      </c>
      <c r="I44" s="32">
        <f t="shared" si="16"/>
        <v>0</v>
      </c>
      <c r="J44" s="46">
        <f t="shared" si="16"/>
        <v>0</v>
      </c>
      <c r="K44" s="32">
        <f t="shared" si="16"/>
        <v>0</v>
      </c>
      <c r="L44" s="32">
        <f t="shared" si="16"/>
        <v>0</v>
      </c>
      <c r="M44" s="32">
        <f t="shared" si="16"/>
        <v>0</v>
      </c>
      <c r="N44" s="32">
        <f t="shared" si="16"/>
        <v>0</v>
      </c>
      <c r="O44" s="32">
        <f t="shared" si="16"/>
        <v>0</v>
      </c>
      <c r="P44" s="32">
        <f t="shared" si="16"/>
        <v>0</v>
      </c>
      <c r="Q44" s="32">
        <f t="shared" si="16"/>
        <v>0</v>
      </c>
      <c r="R44" s="32">
        <f t="shared" si="16"/>
        <v>0</v>
      </c>
      <c r="S44" s="32">
        <f t="shared" si="16"/>
        <v>0</v>
      </c>
    </row>
    <row r="45" spans="2:30" ht="15.75" customHeight="1" x14ac:dyDescent="0.35">
      <c r="B45" s="53" t="s">
        <v>20</v>
      </c>
      <c r="E45" s="54"/>
      <c r="F45" s="55" t="e">
        <f>F44/F$33</f>
        <v>#DIV/0!</v>
      </c>
      <c r="G45" s="55" t="e">
        <f>G44/G$33</f>
        <v>#DIV/0!</v>
      </c>
      <c r="H45" s="55" t="e">
        <f>H44/H$33</f>
        <v>#DIV/0!</v>
      </c>
      <c r="I45" s="55" t="e">
        <f>I44/I$33</f>
        <v>#DIV/0!</v>
      </c>
      <c r="J45" s="68" t="e">
        <f t="shared" ref="J45:S45" si="17">J24</f>
        <v>#DIV/0!</v>
      </c>
      <c r="K45" s="55" t="e">
        <f t="shared" si="17"/>
        <v>#DIV/0!</v>
      </c>
      <c r="L45" s="55" t="e">
        <f t="shared" si="17"/>
        <v>#DIV/0!</v>
      </c>
      <c r="M45" s="55" t="e">
        <f t="shared" si="17"/>
        <v>#DIV/0!</v>
      </c>
      <c r="N45" s="55" t="e">
        <f t="shared" si="17"/>
        <v>#DIV/0!</v>
      </c>
      <c r="O45" s="55" t="e">
        <f t="shared" si="17"/>
        <v>#DIV/0!</v>
      </c>
      <c r="P45" s="55" t="e">
        <f t="shared" si="17"/>
        <v>#DIV/0!</v>
      </c>
      <c r="Q45" s="55" t="e">
        <f t="shared" si="17"/>
        <v>#DIV/0!</v>
      </c>
      <c r="R45" s="55" t="e">
        <f t="shared" si="17"/>
        <v>#DIV/0!</v>
      </c>
      <c r="S45" s="55" t="e">
        <f t="shared" si="17"/>
        <v>#DIV/0!</v>
      </c>
    </row>
    <row r="46" spans="2:30" ht="15.75" customHeight="1" x14ac:dyDescent="0.35">
      <c r="E46" s="13"/>
      <c r="J46" s="57"/>
      <c r="O46" s="13"/>
      <c r="U46" s="28"/>
      <c r="V46" s="28"/>
      <c r="W46" s="28"/>
      <c r="X46" s="28"/>
      <c r="Y46" s="28"/>
      <c r="Z46" s="28"/>
      <c r="AA46" s="28"/>
      <c r="AB46" s="28"/>
      <c r="AC46" s="28"/>
    </row>
    <row r="47" spans="2:30" ht="15" customHeight="1" x14ac:dyDescent="0.35">
      <c r="B47" s="3" t="s">
        <v>25</v>
      </c>
      <c r="E47" s="31"/>
      <c r="F47" s="32">
        <f t="shared" ref="F47:S47" si="18">F26</f>
        <v>0</v>
      </c>
      <c r="G47" s="32">
        <f t="shared" si="18"/>
        <v>0</v>
      </c>
      <c r="H47" s="32">
        <f t="shared" si="18"/>
        <v>0</v>
      </c>
      <c r="I47" s="32">
        <f t="shared" si="18"/>
        <v>0</v>
      </c>
      <c r="J47" s="46">
        <f t="shared" si="18"/>
        <v>0</v>
      </c>
      <c r="K47" s="32">
        <f t="shared" si="18"/>
        <v>0</v>
      </c>
      <c r="L47" s="32">
        <f t="shared" si="18"/>
        <v>0</v>
      </c>
      <c r="M47" s="32">
        <f t="shared" si="18"/>
        <v>0</v>
      </c>
      <c r="N47" s="32">
        <f t="shared" si="18"/>
        <v>0</v>
      </c>
      <c r="O47" s="32">
        <f t="shared" si="18"/>
        <v>0</v>
      </c>
      <c r="P47" s="32">
        <f t="shared" si="18"/>
        <v>0</v>
      </c>
      <c r="Q47" s="32">
        <f t="shared" si="18"/>
        <v>0</v>
      </c>
      <c r="R47" s="32">
        <f t="shared" si="18"/>
        <v>0</v>
      </c>
      <c r="S47" s="32">
        <f t="shared" si="18"/>
        <v>0</v>
      </c>
      <c r="AB47" s="28"/>
      <c r="AC47" s="28"/>
    </row>
    <row r="48" spans="2:30" ht="15.75" customHeight="1" x14ac:dyDescent="0.35">
      <c r="B48" s="53" t="s">
        <v>20</v>
      </c>
      <c r="E48" s="54"/>
      <c r="F48" s="55" t="e">
        <f>F47/F$33</f>
        <v>#DIV/0!</v>
      </c>
      <c r="G48" s="55" t="e">
        <f>G47/G$33</f>
        <v>#DIV/0!</v>
      </c>
      <c r="H48" s="55" t="e">
        <f>H47/H$33</f>
        <v>#DIV/0!</v>
      </c>
      <c r="I48" s="55" t="e">
        <f>I47/I$33</f>
        <v>#DIV/0!</v>
      </c>
      <c r="J48" s="68" t="e">
        <f t="shared" ref="J48:S48" si="19">J27</f>
        <v>#DIV/0!</v>
      </c>
      <c r="K48" s="55" t="e">
        <f t="shared" si="19"/>
        <v>#DIV/0!</v>
      </c>
      <c r="L48" s="55" t="e">
        <f t="shared" si="19"/>
        <v>#DIV/0!</v>
      </c>
      <c r="M48" s="55" t="e">
        <f t="shared" si="19"/>
        <v>#DIV/0!</v>
      </c>
      <c r="N48" s="55" t="e">
        <f t="shared" si="19"/>
        <v>#DIV/0!</v>
      </c>
      <c r="O48" s="55" t="e">
        <f t="shared" si="19"/>
        <v>#DIV/0!</v>
      </c>
      <c r="P48" s="55" t="e">
        <f t="shared" si="19"/>
        <v>#DIV/0!</v>
      </c>
      <c r="Q48" s="55" t="e">
        <f t="shared" si="19"/>
        <v>#DIV/0!</v>
      </c>
      <c r="R48" s="55" t="e">
        <f t="shared" si="19"/>
        <v>#DIV/0!</v>
      </c>
      <c r="S48" s="55" t="e">
        <f t="shared" si="19"/>
        <v>#DIV/0!</v>
      </c>
      <c r="AB48" s="28"/>
      <c r="AC48" s="28"/>
      <c r="AD48" s="69"/>
    </row>
    <row r="49" spans="1:29" ht="15.75" customHeight="1" x14ac:dyDescent="0.35">
      <c r="E49" s="13"/>
      <c r="J49" s="57"/>
      <c r="O49" s="13"/>
      <c r="AB49" s="28"/>
      <c r="AC49" s="28"/>
    </row>
    <row r="50" spans="1:29" ht="15.75" customHeight="1" x14ac:dyDescent="0.35">
      <c r="B50" s="3" t="s">
        <v>26</v>
      </c>
      <c r="E50" s="31"/>
      <c r="F50" s="32">
        <f t="shared" ref="F50:S50" si="20">F29</f>
        <v>0</v>
      </c>
      <c r="G50" s="32">
        <f t="shared" si="20"/>
        <v>0</v>
      </c>
      <c r="H50" s="32">
        <f t="shared" si="20"/>
        <v>0</v>
      </c>
      <c r="I50" s="32">
        <f t="shared" si="20"/>
        <v>0</v>
      </c>
      <c r="J50" s="46">
        <f t="shared" si="20"/>
        <v>0</v>
      </c>
      <c r="K50" s="32">
        <f t="shared" si="20"/>
        <v>0</v>
      </c>
      <c r="L50" s="32">
        <f t="shared" si="20"/>
        <v>0</v>
      </c>
      <c r="M50" s="32">
        <f t="shared" si="20"/>
        <v>0</v>
      </c>
      <c r="N50" s="32">
        <f t="shared" si="20"/>
        <v>0</v>
      </c>
      <c r="O50" s="32">
        <f t="shared" si="20"/>
        <v>0</v>
      </c>
      <c r="P50" s="32">
        <f t="shared" si="20"/>
        <v>0</v>
      </c>
      <c r="Q50" s="32">
        <f t="shared" si="20"/>
        <v>0</v>
      </c>
      <c r="R50" s="32">
        <f t="shared" si="20"/>
        <v>0</v>
      </c>
      <c r="S50" s="32">
        <f t="shared" si="20"/>
        <v>0</v>
      </c>
    </row>
    <row r="51" spans="1:29" ht="15.75" customHeight="1" x14ac:dyDescent="0.35">
      <c r="B51" s="53" t="s">
        <v>20</v>
      </c>
      <c r="E51" s="54"/>
      <c r="F51" s="55" t="e">
        <f>F50/F$33</f>
        <v>#DIV/0!</v>
      </c>
      <c r="G51" s="55" t="e">
        <f>G50/G$33</f>
        <v>#DIV/0!</v>
      </c>
      <c r="H51" s="55" t="e">
        <f>H50/H$33</f>
        <v>#DIV/0!</v>
      </c>
      <c r="I51" s="55" t="e">
        <f>I50/I$33</f>
        <v>#DIV/0!</v>
      </c>
      <c r="J51" s="68" t="e">
        <f t="shared" ref="J51:S51" si="21">J30</f>
        <v>#DIV/0!</v>
      </c>
      <c r="K51" s="55" t="e">
        <f t="shared" si="21"/>
        <v>#DIV/0!</v>
      </c>
      <c r="L51" s="55" t="e">
        <f t="shared" si="21"/>
        <v>#DIV/0!</v>
      </c>
      <c r="M51" s="55" t="e">
        <f t="shared" si="21"/>
        <v>#DIV/0!</v>
      </c>
      <c r="N51" s="55" t="e">
        <f t="shared" si="21"/>
        <v>#DIV/0!</v>
      </c>
      <c r="O51" s="55" t="e">
        <f t="shared" si="21"/>
        <v>#DIV/0!</v>
      </c>
      <c r="P51" s="55" t="e">
        <f t="shared" si="21"/>
        <v>#DIV/0!</v>
      </c>
      <c r="Q51" s="55" t="e">
        <f t="shared" si="21"/>
        <v>#DIV/0!</v>
      </c>
      <c r="R51" s="55" t="e">
        <f t="shared" si="21"/>
        <v>#DIV/0!</v>
      </c>
      <c r="S51" s="55" t="e">
        <f t="shared" si="21"/>
        <v>#DIV/0!</v>
      </c>
      <c r="AB51" s="28"/>
      <c r="AC51" s="28"/>
    </row>
    <row r="52" spans="1:29" ht="15.75" customHeight="1" x14ac:dyDescent="0.35">
      <c r="E52" s="70"/>
      <c r="F52" s="71"/>
      <c r="G52" s="71"/>
      <c r="H52" s="71"/>
      <c r="I52" s="71"/>
      <c r="J52" s="72"/>
      <c r="K52" s="1"/>
      <c r="L52" s="1"/>
      <c r="M52" s="1"/>
      <c r="N52" s="1"/>
      <c r="O52" s="13"/>
      <c r="AB52" s="28"/>
      <c r="AC52" s="28"/>
    </row>
    <row r="53" spans="1:29" ht="15.75" customHeight="1" x14ac:dyDescent="0.35">
      <c r="A53" s="3" t="s">
        <v>1</v>
      </c>
      <c r="B53" s="62" t="s">
        <v>29</v>
      </c>
      <c r="C53" s="63"/>
      <c r="D53" s="63"/>
      <c r="E53" s="64"/>
      <c r="F53" s="64">
        <f t="shared" ref="F53:S53" si="22">F42+F44-F47-F50</f>
        <v>0</v>
      </c>
      <c r="G53" s="64">
        <f t="shared" si="22"/>
        <v>0</v>
      </c>
      <c r="H53" s="64">
        <f t="shared" si="22"/>
        <v>0</v>
      </c>
      <c r="I53" s="64">
        <f t="shared" si="22"/>
        <v>0</v>
      </c>
      <c r="J53" s="65">
        <f t="shared" si="22"/>
        <v>0</v>
      </c>
      <c r="K53" s="64">
        <f t="shared" si="22"/>
        <v>0</v>
      </c>
      <c r="L53" s="64">
        <f t="shared" si="22"/>
        <v>0</v>
      </c>
      <c r="M53" s="64">
        <f t="shared" si="22"/>
        <v>0</v>
      </c>
      <c r="N53" s="64">
        <f t="shared" si="22"/>
        <v>0</v>
      </c>
      <c r="O53" s="64">
        <f t="shared" si="22"/>
        <v>0</v>
      </c>
      <c r="P53" s="64">
        <f t="shared" si="22"/>
        <v>0</v>
      </c>
      <c r="Q53" s="64">
        <f t="shared" si="22"/>
        <v>0</v>
      </c>
      <c r="R53" s="64">
        <f t="shared" si="22"/>
        <v>0</v>
      </c>
      <c r="S53" s="64">
        <f t="shared" si="22"/>
        <v>0</v>
      </c>
      <c r="AB53" s="28"/>
      <c r="AC53" s="28"/>
    </row>
    <row r="54" spans="1:29" ht="15.75" customHeight="1" x14ac:dyDescent="0.35">
      <c r="B54" s="62" t="s">
        <v>30</v>
      </c>
      <c r="C54" s="63"/>
      <c r="D54" s="63"/>
      <c r="E54" s="63"/>
      <c r="F54" s="63"/>
      <c r="G54" s="63"/>
      <c r="H54" s="63"/>
      <c r="I54" s="73"/>
      <c r="J54" s="74">
        <f t="shared" ref="J54:S54" si="23">J53/(1+wacc)^J11</f>
        <v>0</v>
      </c>
      <c r="K54" s="74">
        <f t="shared" si="23"/>
        <v>0</v>
      </c>
      <c r="L54" s="74">
        <f t="shared" si="23"/>
        <v>0</v>
      </c>
      <c r="M54" s="74">
        <f t="shared" si="23"/>
        <v>0</v>
      </c>
      <c r="N54" s="74">
        <f t="shared" si="23"/>
        <v>0</v>
      </c>
      <c r="O54" s="74">
        <f t="shared" si="23"/>
        <v>0</v>
      </c>
      <c r="P54" s="74">
        <f t="shared" si="23"/>
        <v>0</v>
      </c>
      <c r="Q54" s="74">
        <f t="shared" si="23"/>
        <v>0</v>
      </c>
      <c r="R54" s="74">
        <f t="shared" si="23"/>
        <v>0</v>
      </c>
      <c r="S54" s="74">
        <f t="shared" si="23"/>
        <v>0</v>
      </c>
      <c r="AB54" s="28"/>
      <c r="AC54" s="28"/>
    </row>
    <row r="55" spans="1:29" ht="15.75" customHeight="1" x14ac:dyDescent="0.35">
      <c r="J55" s="75"/>
      <c r="O55" s="13"/>
      <c r="AB55" s="28"/>
      <c r="AC55" s="28"/>
    </row>
    <row r="56" spans="1:29" ht="15.75" customHeight="1" x14ac:dyDescent="0.35">
      <c r="A56" s="3" t="s">
        <v>1</v>
      </c>
      <c r="B56" s="3" t="s">
        <v>31</v>
      </c>
      <c r="J56" s="75"/>
      <c r="N56" s="76"/>
      <c r="O56" s="13"/>
      <c r="S56" s="3" t="e">
        <f>(S53*(1+tgr))/(wacc-tgr)</f>
        <v>#DIV/0!</v>
      </c>
      <c r="AB56" s="28"/>
      <c r="AC56" s="28"/>
    </row>
    <row r="57" spans="1:29" ht="15.75" customHeight="1" x14ac:dyDescent="0.35">
      <c r="B57" s="1" t="s">
        <v>32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77" t="e">
        <f>S56/(1+wacc)^S11</f>
        <v>#DIV/0!</v>
      </c>
      <c r="AB57" s="28"/>
      <c r="AC57" s="28"/>
    </row>
    <row r="58" spans="1:29" ht="15.75" customHeight="1" x14ac:dyDescent="0.35">
      <c r="B58" s="15" t="s">
        <v>33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78" t="e">
        <f>SUM(S57,J54:S54)</f>
        <v>#DIV/0!</v>
      </c>
      <c r="AB58" s="28"/>
      <c r="AC58" s="28"/>
    </row>
    <row r="59" spans="1:29" ht="15.75" customHeight="1" x14ac:dyDescent="0.35">
      <c r="B59" s="3" t="s">
        <v>34</v>
      </c>
      <c r="S59" s="79"/>
    </row>
    <row r="60" spans="1:29" ht="15.75" customHeight="1" x14ac:dyDescent="0.35">
      <c r="B60" s="1" t="s">
        <v>35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80"/>
    </row>
    <row r="61" spans="1:29" ht="15.75" customHeight="1" x14ac:dyDescent="0.35">
      <c r="B61" s="15" t="s">
        <v>36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78" t="e">
        <f>S58+S59-S60</f>
        <v>#DIV/0!</v>
      </c>
    </row>
    <row r="62" spans="1:29" ht="15.75" customHeight="1" x14ac:dyDescent="0.35">
      <c r="B62" s="1" t="s">
        <v>37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81"/>
    </row>
    <row r="63" spans="1:29" ht="15.75" customHeight="1" x14ac:dyDescent="0.35">
      <c r="A63" s="3" t="s">
        <v>1</v>
      </c>
      <c r="B63" s="15" t="s">
        <v>38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82" t="e">
        <f>S61/S62</f>
        <v>#DIV/0!</v>
      </c>
    </row>
    <row r="64" spans="1:29" ht="15.75" customHeight="1" x14ac:dyDescent="0.35"/>
    <row r="65" spans="28:29" ht="15.75" customHeight="1" x14ac:dyDescent="0.35"/>
    <row r="66" spans="28:29" ht="15.75" customHeight="1" x14ac:dyDescent="0.35">
      <c r="AB66" s="28"/>
      <c r="AC66" s="28"/>
    </row>
    <row r="67" spans="28:29" ht="15.75" customHeight="1" x14ac:dyDescent="0.35">
      <c r="AB67" s="28"/>
      <c r="AC67" s="28"/>
    </row>
    <row r="68" spans="28:29" ht="15.75" customHeight="1" x14ac:dyDescent="0.35"/>
    <row r="69" spans="28:29" ht="15.75" customHeight="1" x14ac:dyDescent="0.35"/>
    <row r="70" spans="28:29" ht="15.75" customHeight="1" x14ac:dyDescent="0.35"/>
    <row r="71" spans="28:29" ht="15.75" customHeight="1" x14ac:dyDescent="0.35"/>
    <row r="72" spans="28:29" ht="15.75" customHeight="1" x14ac:dyDescent="0.35"/>
    <row r="73" spans="28:29" ht="15.75" customHeight="1" x14ac:dyDescent="0.35"/>
    <row r="74" spans="28:29" ht="15.75" customHeight="1" x14ac:dyDescent="0.35"/>
    <row r="75" spans="28:29" ht="15.75" customHeight="1" x14ac:dyDescent="0.35"/>
    <row r="76" spans="28:29" ht="15.75" customHeight="1" x14ac:dyDescent="0.35"/>
    <row r="77" spans="28:29" ht="15.75" customHeight="1" x14ac:dyDescent="0.35"/>
    <row r="78" spans="28:29" ht="15.75" customHeight="1" x14ac:dyDescent="0.35"/>
    <row r="79" spans="28:29" ht="15.75" customHeight="1" x14ac:dyDescent="0.35"/>
    <row r="80" spans="28:29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K10:R10"/>
    <mergeCell ref="X5:AF5"/>
    <mergeCell ref="AH5:AJ5"/>
    <mergeCell ref="Y7:AF7"/>
    <mergeCell ref="X9:X17"/>
    <mergeCell ref="AH10:AJ10"/>
    <mergeCell ref="AH15:AJ15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DCF</vt:lpstr>
      <vt:lpstr>tgr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Evan Chow</cp:lastModifiedBy>
  <cp:revision>0</cp:revision>
  <dcterms:created xsi:type="dcterms:W3CDTF">2022-06-12T18:45:32Z</dcterms:created>
  <dcterms:modified xsi:type="dcterms:W3CDTF">2026-03-26T16:38:39Z</dcterms:modified>
  <dc:language>en-US</dc:language>
</cp:coreProperties>
</file>