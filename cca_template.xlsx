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vanc\OneDrive\Documents\! Projects\dcf project\V9\"/>
    </mc:Choice>
  </mc:AlternateContent>
  <xr:revisionPtr revIDLastSave="0" documentId="13_ncr:1_{90CA1431-1FF9-45F7-8CF9-D273A82D48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" i="1" l="1"/>
  <c r="AC12" i="1"/>
  <c r="AC17" i="1" s="1"/>
  <c r="Y19" i="1"/>
  <c r="X19" i="1"/>
  <c r="Y18" i="1"/>
  <c r="X18" i="1"/>
  <c r="W18" i="1"/>
  <c r="W19" i="1" s="1"/>
  <c r="V18" i="1"/>
  <c r="V19" i="1" s="1"/>
  <c r="U18" i="1"/>
  <c r="U19" i="1" s="1"/>
  <c r="X17" i="1"/>
  <c r="W14" i="1"/>
  <c r="V14" i="1"/>
  <c r="U14" i="1"/>
  <c r="Y13" i="1"/>
  <c r="Y14" i="1" s="1"/>
  <c r="X13" i="1"/>
  <c r="X14" i="1" s="1"/>
  <c r="W13" i="1"/>
  <c r="V13" i="1"/>
  <c r="U13" i="1"/>
  <c r="Y12" i="1"/>
  <c r="Y17" i="1" s="1"/>
  <c r="X12" i="1"/>
  <c r="W12" i="1"/>
  <c r="W17" i="1" s="1"/>
  <c r="V12" i="1"/>
  <c r="V17" i="1" s="1"/>
  <c r="U12" i="1"/>
  <c r="U17" i="1" s="1"/>
  <c r="Y9" i="1"/>
  <c r="X9" i="1"/>
  <c r="Y8" i="1"/>
  <c r="X8" i="1"/>
  <c r="W8" i="1"/>
  <c r="W9" i="1" s="1"/>
  <c r="AC8" i="1" s="1"/>
  <c r="V8" i="1"/>
  <c r="V9" i="1" s="1"/>
  <c r="U8" i="1"/>
  <c r="U9" i="1" s="1"/>
  <c r="AC7" i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K19" i="1" a="1"/>
  <c r="K19" i="1" s="1"/>
  <c r="K18" i="1" a="1"/>
  <c r="K18" i="1" s="1"/>
  <c r="K17" i="1" a="1"/>
  <c r="K17" i="1" s="1"/>
  <c r="K16" i="1" a="1"/>
  <c r="K16" i="1" s="1"/>
  <c r="K15" i="1"/>
  <c r="K15" i="1" a="1"/>
  <c r="K14" i="1" a="1"/>
  <c r="K14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N24" i="1"/>
  <c r="N23" i="1"/>
  <c r="N22" i="1"/>
  <c r="AC18" i="1" l="1"/>
  <c r="AC19" i="1" s="1"/>
  <c r="AC13" i="1"/>
  <c r="P16" i="1"/>
  <c r="P14" i="1"/>
  <c r="P15" i="1"/>
  <c r="P17" i="1"/>
  <c r="P19" i="1"/>
  <c r="K23" i="1"/>
  <c r="B21" i="1" a="1"/>
  <c r="B21" i="1" s="1"/>
  <c r="L25" i="1"/>
  <c r="K25" i="1"/>
  <c r="L23" i="1"/>
  <c r="K22" i="1" a="1"/>
  <c r="K22" i="1" s="1"/>
  <c r="J22" i="1" l="1" a="1"/>
  <c r="J22" i="1" s="1"/>
  <c r="J24" i="1" s="1"/>
  <c r="K24" i="1"/>
  <c r="K26" i="1" s="1"/>
  <c r="P18" i="1"/>
  <c r="Q17" i="1"/>
  <c r="K27" i="1" l="1" a="1"/>
  <c r="K27" i="1" s="1"/>
  <c r="L22" i="1" a="1"/>
  <c r="L22" i="1" s="1"/>
  <c r="L24" i="1" s="1"/>
  <c r="L26" i="1" s="1"/>
  <c r="J26" i="1"/>
  <c r="J27" i="1" s="1" a="1"/>
  <c r="J27" i="1" s="1"/>
  <c r="L27" i="1" l="1" a="1"/>
  <c r="L27" i="1" s="1"/>
  <c r="N25" i="1"/>
  <c r="N26" i="1"/>
  <c r="N27" i="1" s="1"/>
  <c r="AC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<sst xmlns="http://schemas.openxmlformats.org/spreadsheetml/2006/main" count="152" uniqueCount="43">
  <si>
    <t>Company</t>
  </si>
  <si>
    <t>Ticker</t>
  </si>
  <si>
    <t>Share 
Price</t>
  </si>
  <si>
    <t>Revenue</t>
  </si>
  <si>
    <t>EBITDA</t>
  </si>
  <si>
    <t>Net Income</t>
  </si>
  <si>
    <t>EV/Revenue</t>
  </si>
  <si>
    <t>EV/EBITDA</t>
  </si>
  <si>
    <t>P/E</t>
  </si>
  <si>
    <t>PEG</t>
  </si>
  <si>
    <t>Implied EPS Growth Rate (%)</t>
  </si>
  <si>
    <t>ROE</t>
  </si>
  <si>
    <t>Adj. P/E</t>
  </si>
  <si>
    <t>High</t>
  </si>
  <si>
    <t>75th Percentile</t>
  </si>
  <si>
    <t>Average</t>
  </si>
  <si>
    <t>Median</t>
  </si>
  <si>
    <t>25th Percentile</t>
  </si>
  <si>
    <t>Low</t>
  </si>
  <si>
    <t>Implied Enterprise Value</t>
  </si>
  <si>
    <t>Row Number:</t>
  </si>
  <si>
    <t>Net Debt</t>
  </si>
  <si>
    <t>Implied Market Value</t>
  </si>
  <si>
    <t>Shares Outstanding</t>
  </si>
  <si>
    <t>Implied Value Per Share</t>
  </si>
  <si>
    <t>[STOCK] Comparable Companies Analysis</t>
  </si>
  <si>
    <t>COMPANY NAME</t>
  </si>
  <si>
    <t>SHARE PRICE</t>
  </si>
  <si>
    <t>Comparable</t>
  </si>
  <si>
    <t>EPS GR</t>
  </si>
  <si>
    <t>Date</t>
  </si>
  <si>
    <t>Sensitivity Analysis</t>
  </si>
  <si>
    <t>Multiple</t>
  </si>
  <si>
    <t>Price</t>
  </si>
  <si>
    <t>EV/REVENUE</t>
  </si>
  <si>
    <t>Base Case</t>
  </si>
  <si>
    <t>Today's Share Price</t>
  </si>
  <si>
    <t>Implied Share Price</t>
  </si>
  <si>
    <t>Upside (Downside)</t>
  </si>
  <si>
    <t>Optimistic Case</t>
  </si>
  <si>
    <t>Conservative Case</t>
  </si>
  <si>
    <t>Weighted Average</t>
  </si>
  <si>
    <t>Implied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</si>
</sst>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x"/>
    <numFmt numFmtId="165" formatCode="_-* #,##0.00\ _€_-;\-* #,##0.00\ _€_-;_-* &quot;-&quot;??\ _€_-;_-@"/>
    <numFmt numFmtId="166" formatCode="&quot;$&quot;#,##0.00"/>
    <numFmt numFmtId="167" formatCode="0.00%;\(0.00%\)"/>
  </numFmts>
  <fonts count="2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Lora"/>
    </font>
    <font>
      <b/>
      <sz val="18"/>
      <color rgb="FF293D68"/>
      <name val="Lora"/>
    </font>
    <font>
      <sz val="12"/>
      <color theme="1"/>
      <name val="Lora"/>
    </font>
    <font>
      <b/>
      <sz val="12"/>
      <color theme="0"/>
      <name val="Lora"/>
    </font>
    <font>
      <b/>
      <sz val="12"/>
      <color rgb="FFFFFFFF"/>
      <name val="Lora"/>
    </font>
    <font>
      <b/>
      <sz val="10"/>
      <color rgb="FF000000"/>
      <name val="Lora"/>
    </font>
    <font>
      <sz val="10"/>
      <color theme="1"/>
      <name val="Arial"/>
      <family val="2"/>
    </font>
    <font>
      <sz val="12"/>
      <color rgb="FF000000"/>
      <name val="Lora"/>
    </font>
    <font>
      <b/>
      <sz val="11"/>
      <color theme="1"/>
      <name val="Lora"/>
    </font>
    <font>
      <b/>
      <sz val="12"/>
      <color theme="1"/>
      <name val="Lora"/>
    </font>
    <font>
      <sz val="11"/>
      <color theme="1"/>
      <name val="Lora"/>
    </font>
    <font>
      <sz val="12"/>
      <color theme="0"/>
      <name val="Lora"/>
    </font>
    <font>
      <sz val="10"/>
      <color theme="0"/>
      <name val="Lora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rgb="FF9C5700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0"/>
      <color theme="2"/>
      <name val="Arial"/>
      <family val="2"/>
      <scheme val="minor"/>
    </font>
    <font>
      <sz val="12"/>
      <color theme="0"/>
      <name val="Arial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FFFCFC"/>
        <bgColor rgb="FFFFFCFC"/>
      </patternFill>
    </fill>
    <fill>
      <patternFill patternType="solid">
        <fgColor rgb="FFD9E2F3"/>
        <bgColor rgb="FFD9E2F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</fills>
  <borders count="21">
    <border>
      <left/>
      <right/>
      <top/>
      <bottom/>
      <diagonal/>
    </border>
    <border>
      <left/>
      <right/>
      <top/>
      <bottom style="thin">
        <color rgb="FF293D68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 vertical="center"/>
    </xf>
    <xf numFmtId="164" fontId="11" fillId="7" borderId="2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8" borderId="3" xfId="0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11" fillId="6" borderId="8" xfId="0" applyFont="1" applyFill="1" applyBorder="1" applyAlignment="1">
      <alignment vertical="center"/>
    </xf>
    <xf numFmtId="165" fontId="11" fillId="6" borderId="8" xfId="0" applyNumberFormat="1" applyFont="1" applyFill="1" applyBorder="1" applyAlignment="1">
      <alignment vertical="center"/>
    </xf>
    <xf numFmtId="4" fontId="11" fillId="6" borderId="9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0" fillId="0" borderId="7" xfId="0" applyBorder="1"/>
    <xf numFmtId="166" fontId="18" fillId="0" borderId="18" xfId="0" applyNumberFormat="1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9" fontId="4" fillId="0" borderId="11" xfId="1" applyFont="1" applyBorder="1" applyAlignment="1">
      <alignment horizontal="center" vertical="center"/>
    </xf>
    <xf numFmtId="0" fontId="0" fillId="0" borderId="10" xfId="0" applyBorder="1"/>
    <xf numFmtId="4" fontId="11" fillId="6" borderId="19" xfId="0" applyNumberFormat="1" applyFont="1" applyFill="1" applyBorder="1" applyAlignment="1">
      <alignment horizontal="center" vertical="center"/>
    </xf>
    <xf numFmtId="4" fontId="11" fillId="6" borderId="20" xfId="0" applyNumberFormat="1" applyFont="1" applyFill="1" applyBorder="1" applyAlignment="1">
      <alignment horizontal="center" vertical="center"/>
    </xf>
    <xf numFmtId="0" fontId="0" fillId="0" borderId="12" xfId="0" applyBorder="1"/>
    <xf numFmtId="3" fontId="4" fillId="0" borderId="10" xfId="0" applyNumberFormat="1" applyFont="1" applyBorder="1" applyAlignment="1">
      <alignment horizontal="center" vertical="center"/>
    </xf>
    <xf numFmtId="43" fontId="14" fillId="0" borderId="11" xfId="2" applyFont="1" applyBorder="1" applyAlignment="1">
      <alignment vertical="center"/>
    </xf>
    <xf numFmtId="0" fontId="24" fillId="0" borderId="0" xfId="0" applyFont="1"/>
    <xf numFmtId="164" fontId="4" fillId="6" borderId="7" xfId="0" applyNumberFormat="1" applyFont="1" applyFill="1" applyBorder="1" applyAlignment="1">
      <alignment horizontal="center" vertical="center"/>
    </xf>
    <xf numFmtId="164" fontId="11" fillId="6" borderId="7" xfId="0" applyNumberFormat="1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" fillId="0" borderId="0" xfId="0" applyFont="1"/>
    <xf numFmtId="164" fontId="2" fillId="0" borderId="0" xfId="0" applyNumberFormat="1" applyFont="1" applyAlignment="1">
      <alignment horizontal="center" vertical="center"/>
    </xf>
    <xf numFmtId="0" fontId="15" fillId="0" borderId="0" xfId="0" applyFont="1"/>
    <xf numFmtId="0" fontId="2" fillId="0" borderId="7" xfId="0" applyFont="1" applyBorder="1" applyAlignment="1">
      <alignment horizontal="center" vertical="center"/>
    </xf>
    <xf numFmtId="10" fontId="18" fillId="16" borderId="7" xfId="0" applyNumberFormat="1" applyFont="1" applyFill="1" applyBorder="1" applyAlignment="1">
      <alignment horizontal="center" vertical="center"/>
    </xf>
    <xf numFmtId="0" fontId="18" fillId="16" borderId="7" xfId="0" applyFont="1" applyFill="1" applyBorder="1"/>
    <xf numFmtId="0" fontId="0" fillId="0" borderId="7" xfId="0" applyBorder="1" applyAlignment="1">
      <alignment horizontal="center"/>
    </xf>
    <xf numFmtId="0" fontId="14" fillId="12" borderId="15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5" fillId="12" borderId="0" xfId="0" applyFont="1" applyFill="1" applyAlignment="1">
      <alignment horizontal="center" vertical="center"/>
    </xf>
    <xf numFmtId="0" fontId="16" fillId="12" borderId="16" xfId="0" applyFont="1" applyFill="1" applyBorder="1" applyAlignment="1">
      <alignment horizontal="center"/>
    </xf>
    <xf numFmtId="0" fontId="16" fillId="12" borderId="17" xfId="0" applyFont="1" applyFill="1" applyBorder="1" applyAlignment="1">
      <alignment horizontal="center"/>
    </xf>
    <xf numFmtId="0" fontId="17" fillId="14" borderId="7" xfId="0" applyFont="1" applyFill="1" applyBorder="1" applyAlignment="1">
      <alignment horizontal="center"/>
    </xf>
    <xf numFmtId="0" fontId="17" fillId="15" borderId="7" xfId="0" applyFont="1" applyFill="1" applyBorder="1" applyAlignment="1">
      <alignment horizontal="center"/>
    </xf>
    <xf numFmtId="0" fontId="17" fillId="17" borderId="7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167" fontId="12" fillId="0" borderId="14" xfId="0" applyNumberFormat="1" applyFont="1" applyBorder="1" applyAlignment="1">
      <alignment horizontal="center" vertical="center"/>
    </xf>
    <xf numFmtId="167" fontId="21" fillId="11" borderId="0" xfId="1" applyNumberFormat="1" applyFont="1" applyFill="1" applyAlignment="1">
      <alignment horizontal="center"/>
    </xf>
    <xf numFmtId="167" fontId="22" fillId="9" borderId="0" xfId="1" applyNumberFormat="1" applyFont="1" applyFill="1" applyAlignment="1">
      <alignment horizontal="center"/>
    </xf>
    <xf numFmtId="167" fontId="23" fillId="10" borderId="0" xfId="1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3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zoomScale="89" zoomScaleNormal="100" workbookViewId="0">
      <selection activeCell="AE14" sqref="AE14"/>
    </sheetView>
  </sheetViews>
  <sheetFormatPr defaultColWidth="12.54296875" defaultRowHeight="15.75" customHeight="1" x14ac:dyDescent="0.25"/>
  <cols>
    <col min="1" max="1" width="12" customWidth="1"/>
    <col min="2" max="2" width="23.81640625" customWidth="1"/>
    <col min="3" max="3" width="15.81640625" customWidth="1"/>
    <col min="4" max="4" width="12.7265625" customWidth="1"/>
    <col min="5" max="5" width="4.26953125" customWidth="1"/>
    <col min="6" max="8" width="22.7265625" customWidth="1"/>
    <col min="9" max="9" width="5.26953125" customWidth="1"/>
    <col min="10" max="14" width="20.6328125" customWidth="1"/>
    <col min="15" max="15" width="5.1796875" customWidth="1"/>
    <col min="16" max="17" width="13.7265625" customWidth="1"/>
  </cols>
  <sheetData>
    <row r="1" spans="1:29" ht="17.5" x14ac:dyDescent="0.25">
      <c r="A1" s="3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9" ht="31" x14ac:dyDescent="0.25">
      <c r="A2" s="37"/>
      <c r="B2" s="2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</row>
    <row r="3" spans="1:29" ht="17.5" x14ac:dyDescent="0.25">
      <c r="A3" s="37"/>
      <c r="B3" s="1" t="s">
        <v>30</v>
      </c>
      <c r="C3" s="1"/>
      <c r="D3" s="1"/>
      <c r="E3" s="1"/>
      <c r="F3" s="80"/>
      <c r="G3" s="81"/>
      <c r="H3" s="8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9" ht="42" x14ac:dyDescent="0.25">
      <c r="A4" s="37"/>
      <c r="B4" s="4" t="s">
        <v>0</v>
      </c>
      <c r="C4" s="4" t="s">
        <v>1</v>
      </c>
      <c r="D4" s="5" t="s">
        <v>2</v>
      </c>
      <c r="E4" s="4"/>
      <c r="F4" s="6" t="s">
        <v>3</v>
      </c>
      <c r="G4" s="6" t="s">
        <v>4</v>
      </c>
      <c r="H4" s="6" t="s">
        <v>5</v>
      </c>
      <c r="I4" s="4"/>
      <c r="J4" s="4" t="s">
        <v>6</v>
      </c>
      <c r="K4" s="4" t="s">
        <v>7</v>
      </c>
      <c r="L4" s="4" t="s">
        <v>8</v>
      </c>
      <c r="M4" s="6" t="s">
        <v>9</v>
      </c>
      <c r="N4" s="7" t="s">
        <v>10</v>
      </c>
      <c r="O4" s="1"/>
      <c r="P4" s="8" t="s">
        <v>11</v>
      </c>
      <c r="Q4" s="8" t="s">
        <v>12</v>
      </c>
      <c r="R4" s="1"/>
      <c r="S4" s="1"/>
      <c r="T4" s="74" t="s">
        <v>31</v>
      </c>
      <c r="U4" s="74"/>
      <c r="V4" s="74"/>
      <c r="W4" s="74"/>
      <c r="X4" s="74"/>
      <c r="Y4" s="74"/>
    </row>
    <row r="5" spans="1:29" ht="9" customHeight="1" x14ac:dyDescent="0.25">
      <c r="A5" s="37"/>
      <c r="B5" s="9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1"/>
      <c r="O5" s="1"/>
      <c r="P5" s="11"/>
      <c r="Q5" s="11"/>
      <c r="R5" s="1"/>
      <c r="S5" s="1"/>
      <c r="U5" s="1"/>
      <c r="V5" s="1"/>
    </row>
    <row r="6" spans="1:29" ht="21" x14ac:dyDescent="0.3">
      <c r="A6" s="33"/>
      <c r="B6" s="12" t="s">
        <v>28</v>
      </c>
      <c r="C6" s="12" t="s">
        <v>1</v>
      </c>
      <c r="D6" s="13" t="s">
        <v>27</v>
      </c>
      <c r="E6" s="14"/>
      <c r="F6" s="35" t="s">
        <v>3</v>
      </c>
      <c r="G6" s="35" t="s">
        <v>4</v>
      </c>
      <c r="H6" s="35" t="s">
        <v>5</v>
      </c>
      <c r="I6" s="36"/>
      <c r="J6" s="13" t="s">
        <v>6</v>
      </c>
      <c r="K6" s="34" t="s">
        <v>7</v>
      </c>
      <c r="L6" s="13" t="s">
        <v>8</v>
      </c>
      <c r="M6" s="13" t="s">
        <v>9</v>
      </c>
      <c r="N6" s="13" t="s">
        <v>29</v>
      </c>
      <c r="O6" s="1"/>
      <c r="P6" s="14" t="s">
        <v>11</v>
      </c>
      <c r="Q6" s="15" t="s">
        <v>12</v>
      </c>
      <c r="R6" s="1"/>
      <c r="S6" s="1"/>
      <c r="T6" s="67"/>
      <c r="U6" s="75" t="s">
        <v>34</v>
      </c>
      <c r="V6" s="75"/>
      <c r="W6" s="75"/>
      <c r="X6" s="75"/>
      <c r="Y6" s="76"/>
      <c r="Z6" s="45"/>
      <c r="AA6" s="77" t="s">
        <v>35</v>
      </c>
      <c r="AB6" s="77"/>
      <c r="AC6" s="77"/>
    </row>
    <row r="7" spans="1:29" ht="21" x14ac:dyDescent="0.35">
      <c r="A7" s="33"/>
      <c r="B7" s="12" t="s">
        <v>28</v>
      </c>
      <c r="C7" s="12" t="s">
        <v>1</v>
      </c>
      <c r="D7" s="13" t="s">
        <v>27</v>
      </c>
      <c r="E7" s="14"/>
      <c r="F7" s="35" t="s">
        <v>3</v>
      </c>
      <c r="G7" s="35" t="s">
        <v>4</v>
      </c>
      <c r="H7" s="35" t="s">
        <v>5</v>
      </c>
      <c r="I7" s="36"/>
      <c r="J7" s="13" t="s">
        <v>6</v>
      </c>
      <c r="K7" s="34" t="s">
        <v>7</v>
      </c>
      <c r="L7" s="13" t="s">
        <v>8</v>
      </c>
      <c r="M7" s="13" t="s">
        <v>9</v>
      </c>
      <c r="N7" s="13" t="s">
        <v>29</v>
      </c>
      <c r="O7" s="1"/>
      <c r="P7" s="14" t="s">
        <v>11</v>
      </c>
      <c r="Q7" s="15" t="s">
        <v>12</v>
      </c>
      <c r="R7" s="1"/>
      <c r="S7" s="1"/>
      <c r="T7" s="68"/>
      <c r="U7" s="59" t="s">
        <v>18</v>
      </c>
      <c r="V7" s="59">
        <v>0.25</v>
      </c>
      <c r="W7" s="59" t="s">
        <v>16</v>
      </c>
      <c r="X7" s="59">
        <v>0.75</v>
      </c>
      <c r="Y7" s="44" t="s">
        <v>13</v>
      </c>
      <c r="Z7" s="45"/>
      <c r="AA7" s="60" t="s">
        <v>36</v>
      </c>
      <c r="AC7" s="46" t="str">
        <f>$D$9</f>
        <v>SHARE PRICE</v>
      </c>
    </row>
    <row r="8" spans="1:29" ht="21" x14ac:dyDescent="0.55000000000000004">
      <c r="A8" s="33"/>
      <c r="B8" s="12" t="s">
        <v>28</v>
      </c>
      <c r="C8" s="12" t="s">
        <v>1</v>
      </c>
      <c r="D8" s="13" t="s">
        <v>27</v>
      </c>
      <c r="E8" s="14"/>
      <c r="F8" s="35" t="s">
        <v>3</v>
      </c>
      <c r="G8" s="35" t="s">
        <v>4</v>
      </c>
      <c r="H8" s="35" t="s">
        <v>5</v>
      </c>
      <c r="I8" s="36"/>
      <c r="J8" s="13" t="s">
        <v>6</v>
      </c>
      <c r="K8" s="34" t="s">
        <v>7</v>
      </c>
      <c r="L8" s="13" t="s">
        <v>8</v>
      </c>
      <c r="M8" s="13" t="s">
        <v>9</v>
      </c>
      <c r="N8" s="13" t="s">
        <v>29</v>
      </c>
      <c r="O8" s="1"/>
      <c r="P8" s="14" t="s">
        <v>11</v>
      </c>
      <c r="Q8" s="15" t="s">
        <v>12</v>
      </c>
      <c r="R8" s="1"/>
      <c r="S8" s="1"/>
      <c r="T8" s="68" t="s">
        <v>32</v>
      </c>
      <c r="U8" s="70">
        <f>J19</f>
        <v>0</v>
      </c>
      <c r="V8" s="70" t="e">
        <f>J18</f>
        <v>#NUM!</v>
      </c>
      <c r="W8" s="70" t="e">
        <f>J17</f>
        <v>#NUM!</v>
      </c>
      <c r="X8" s="70" t="e">
        <f>J15</f>
        <v>#NUM!</v>
      </c>
      <c r="Y8" s="71">
        <f>J14</f>
        <v>0</v>
      </c>
      <c r="Z8" s="45"/>
      <c r="AA8" s="62" t="s">
        <v>37</v>
      </c>
      <c r="AC8" s="47" t="e">
        <f>W$9*$N$22+W$14*$N$23+W$19*$N$24</f>
        <v>#NUM!</v>
      </c>
    </row>
    <row r="9" spans="1:29" ht="21" x14ac:dyDescent="0.55000000000000004">
      <c r="A9" s="33"/>
      <c r="B9" s="17" t="s">
        <v>26</v>
      </c>
      <c r="C9" s="12" t="s">
        <v>1</v>
      </c>
      <c r="D9" s="13" t="s">
        <v>27</v>
      </c>
      <c r="E9" s="14"/>
      <c r="F9" s="35" t="s">
        <v>3</v>
      </c>
      <c r="G9" s="35" t="s">
        <v>4</v>
      </c>
      <c r="H9" s="35" t="s">
        <v>5</v>
      </c>
      <c r="I9" s="36"/>
      <c r="J9" s="13" t="s">
        <v>6</v>
      </c>
      <c r="K9" s="34" t="s">
        <v>7</v>
      </c>
      <c r="L9" s="13" t="s">
        <v>8</v>
      </c>
      <c r="M9" s="13" t="s">
        <v>9</v>
      </c>
      <c r="N9" s="13" t="s">
        <v>29</v>
      </c>
      <c r="O9" s="1"/>
      <c r="P9" s="14" t="s">
        <v>11</v>
      </c>
      <c r="Q9" s="15" t="s">
        <v>12</v>
      </c>
      <c r="R9" s="1"/>
      <c r="S9" s="1"/>
      <c r="T9" s="69" t="s">
        <v>33</v>
      </c>
      <c r="U9" s="72" t="e">
        <f>(U8*$F$9-$J$23)/$J$25</f>
        <v>#VALUE!</v>
      </c>
      <c r="V9" s="72" t="e">
        <f>(V8*$F$9-$J$23)/$J$25</f>
        <v>#NUM!</v>
      </c>
      <c r="W9" s="72" t="e">
        <f>(W8*$F$9-$J$23)/$J$25</f>
        <v>#NUM!</v>
      </c>
      <c r="X9" s="72" t="e">
        <f>(X8*$F$9-$J$23)/$J$25</f>
        <v>#NUM!</v>
      </c>
      <c r="Y9" s="73" t="e">
        <f>(Y8*$F$9-$J$23)/$J$25</f>
        <v>#VALUE!</v>
      </c>
      <c r="Z9" s="45"/>
      <c r="AA9" s="62" t="s">
        <v>38</v>
      </c>
      <c r="AC9" s="88" t="e">
        <f>(AC8-AC7)/AC7</f>
        <v>#NUM!</v>
      </c>
    </row>
    <row r="10" spans="1:29" ht="21" x14ac:dyDescent="0.25">
      <c r="A10" s="33"/>
      <c r="B10" s="12" t="s">
        <v>28</v>
      </c>
      <c r="C10" s="12" t="s">
        <v>1</v>
      </c>
      <c r="D10" s="13" t="s">
        <v>27</v>
      </c>
      <c r="E10" s="14"/>
      <c r="F10" s="35" t="s">
        <v>3</v>
      </c>
      <c r="G10" s="35" t="s">
        <v>4</v>
      </c>
      <c r="H10" s="35" t="s">
        <v>5</v>
      </c>
      <c r="I10" s="36"/>
      <c r="J10" s="13" t="s">
        <v>6</v>
      </c>
      <c r="K10" s="34" t="s">
        <v>7</v>
      </c>
      <c r="L10" s="13" t="s">
        <v>8</v>
      </c>
      <c r="M10" s="13" t="s">
        <v>9</v>
      </c>
      <c r="N10" s="13" t="s">
        <v>29</v>
      </c>
      <c r="O10" s="1"/>
      <c r="P10" s="14" t="s">
        <v>11</v>
      </c>
      <c r="Q10" s="15" t="s">
        <v>12</v>
      </c>
      <c r="R10" s="1"/>
      <c r="S10" s="1"/>
      <c r="T10" s="63"/>
      <c r="U10" s="63"/>
      <c r="V10" s="63"/>
      <c r="W10" s="63"/>
      <c r="X10" s="63"/>
      <c r="Y10" s="63"/>
      <c r="Z10" s="45"/>
    </row>
    <row r="11" spans="1:29" ht="21" x14ac:dyDescent="0.3">
      <c r="A11" s="33"/>
      <c r="B11" s="12" t="s">
        <v>28</v>
      </c>
      <c r="C11" s="12" t="s">
        <v>1</v>
      </c>
      <c r="D11" s="13" t="s">
        <v>27</v>
      </c>
      <c r="E11" s="14"/>
      <c r="F11" s="35" t="s">
        <v>3</v>
      </c>
      <c r="G11" s="35" t="s">
        <v>4</v>
      </c>
      <c r="H11" s="35" t="s">
        <v>5</v>
      </c>
      <c r="I11" s="36"/>
      <c r="J11" s="13" t="s">
        <v>6</v>
      </c>
      <c r="K11" s="34" t="s">
        <v>7</v>
      </c>
      <c r="L11" s="13" t="s">
        <v>8</v>
      </c>
      <c r="M11" s="13" t="s">
        <v>9</v>
      </c>
      <c r="N11" s="13" t="s">
        <v>29</v>
      </c>
      <c r="O11" s="1"/>
      <c r="P11" s="14" t="s">
        <v>11</v>
      </c>
      <c r="Q11" s="15" t="s">
        <v>12</v>
      </c>
      <c r="R11" s="1"/>
      <c r="S11" s="1"/>
      <c r="T11" s="67"/>
      <c r="U11" s="75" t="s">
        <v>7</v>
      </c>
      <c r="V11" s="75"/>
      <c r="W11" s="75"/>
      <c r="X11" s="75"/>
      <c r="Y11" s="76"/>
      <c r="Z11" s="45"/>
      <c r="AA11" s="78" t="s">
        <v>39</v>
      </c>
      <c r="AB11" s="78"/>
      <c r="AC11" s="78"/>
    </row>
    <row r="12" spans="1:29" ht="21" x14ac:dyDescent="0.35">
      <c r="A12" s="33"/>
      <c r="B12" s="12" t="s">
        <v>28</v>
      </c>
      <c r="C12" s="12" t="s">
        <v>1</v>
      </c>
      <c r="D12" s="13" t="s">
        <v>27</v>
      </c>
      <c r="E12" s="14"/>
      <c r="F12" s="35" t="s">
        <v>3</v>
      </c>
      <c r="G12" s="35" t="s">
        <v>4</v>
      </c>
      <c r="H12" s="35" t="s">
        <v>5</v>
      </c>
      <c r="I12" s="36"/>
      <c r="J12" s="13" t="s">
        <v>6</v>
      </c>
      <c r="K12" s="34" t="s">
        <v>7</v>
      </c>
      <c r="L12" s="13" t="s">
        <v>8</v>
      </c>
      <c r="M12" s="13" t="s">
        <v>9</v>
      </c>
      <c r="N12" s="13" t="s">
        <v>29</v>
      </c>
      <c r="O12" s="1"/>
      <c r="P12" s="14" t="s">
        <v>11</v>
      </c>
      <c r="Q12" s="15" t="s">
        <v>12</v>
      </c>
      <c r="R12" s="1"/>
      <c r="S12" s="1"/>
      <c r="T12" s="68"/>
      <c r="U12" s="59" t="str">
        <f>U7</f>
        <v>Low</v>
      </c>
      <c r="V12" s="59">
        <f>V7</f>
        <v>0.25</v>
      </c>
      <c r="W12" s="59" t="str">
        <f>W7</f>
        <v>Median</v>
      </c>
      <c r="X12" s="59">
        <f>X7</f>
        <v>0.75</v>
      </c>
      <c r="Y12" s="59" t="str">
        <f>Y7</f>
        <v>High</v>
      </c>
      <c r="Z12" s="45"/>
      <c r="AA12" s="60" t="s">
        <v>36</v>
      </c>
      <c r="AC12" s="46" t="str">
        <f>AC7</f>
        <v>SHARE PRICE</v>
      </c>
    </row>
    <row r="13" spans="1:29" ht="17.5" x14ac:dyDescent="0.35">
      <c r="A13" s="37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37"/>
      <c r="O13" s="37"/>
      <c r="P13" s="37"/>
      <c r="Q13" s="37"/>
      <c r="R13" s="37"/>
      <c r="S13" s="37"/>
      <c r="T13" s="68" t="s">
        <v>32</v>
      </c>
      <c r="U13" s="61">
        <f>K19</f>
        <v>0</v>
      </c>
      <c r="V13" s="61" t="e">
        <f>K18</f>
        <v>#NUM!</v>
      </c>
      <c r="W13" s="61" t="e">
        <f>K17</f>
        <v>#NUM!</v>
      </c>
      <c r="X13" s="61" t="e">
        <f>K15</f>
        <v>#NUM!</v>
      </c>
      <c r="Y13" s="41">
        <f>K14</f>
        <v>0</v>
      </c>
      <c r="Z13" s="45"/>
      <c r="AA13" s="62" t="s">
        <v>37</v>
      </c>
      <c r="AC13" s="47" t="e">
        <f>X9*$N$22+X14*$N$23+X19*$N$24</f>
        <v>#NUM!</v>
      </c>
    </row>
    <row r="14" spans="1:29" ht="21" x14ac:dyDescent="0.65">
      <c r="A14" s="37"/>
      <c r="B14" s="18" t="s">
        <v>13</v>
      </c>
      <c r="C14" s="38"/>
      <c r="D14" s="38"/>
      <c r="E14" s="38"/>
      <c r="F14" s="38"/>
      <c r="G14" s="38"/>
      <c r="H14" s="38"/>
      <c r="I14" s="38"/>
      <c r="J14" s="57" cm="1">
        <f t="array" ref="J14">MAX(_xlfn._xlws.FILTER(J6:J12, ROW(J6:J12)&lt;&gt;9))</f>
        <v>0</v>
      </c>
      <c r="K14" s="57" cm="1">
        <f t="array" ref="K14">MAX(_xlfn._xlws.FILTER(K6:K12, ROW(K6:K12)&lt;&gt;9))</f>
        <v>0</v>
      </c>
      <c r="L14" s="57" cm="1">
        <f t="array" ref="L14">MAX(_xlfn._xlws.FILTER(L6:L12, ROW(L6:L12)&lt;&gt;9))</f>
        <v>0</v>
      </c>
      <c r="M14" s="57" cm="1">
        <f t="array" ref="M14">MAX(_xlfn._xlws.FILTER(M6:M12, ROW(M6:M12)&lt;&gt;9))</f>
        <v>0</v>
      </c>
      <c r="N14" s="37"/>
      <c r="O14" s="37"/>
      <c r="P14" s="19">
        <f>MAX(P6:P12)</f>
        <v>0</v>
      </c>
      <c r="Q14" s="1"/>
      <c r="R14" s="1"/>
      <c r="S14" s="1"/>
      <c r="T14" s="69" t="s">
        <v>33</v>
      </c>
      <c r="U14" s="42" t="e">
        <f>(U13*$G$9-$J$23)/$J$25</f>
        <v>#VALUE!</v>
      </c>
      <c r="V14" s="42" t="e">
        <f>(V13*$G$9-$J$23)/$J$25</f>
        <v>#NUM!</v>
      </c>
      <c r="W14" s="42" t="e">
        <f>(W13*$G$9-$J$23)/$J$25</f>
        <v>#NUM!</v>
      </c>
      <c r="X14" s="42" t="e">
        <f>(X13*$G$9-$J$23)/$J$25</f>
        <v>#NUM!</v>
      </c>
      <c r="Y14" s="43" t="e">
        <f>(Y13*$G$9-$J$23)/$J$25</f>
        <v>#VALUE!</v>
      </c>
      <c r="Z14" s="45"/>
      <c r="AA14" s="62" t="s">
        <v>38</v>
      </c>
      <c r="AC14" s="89" t="e">
        <f>(AC13-AC12)/AC12</f>
        <v>#NUM!</v>
      </c>
    </row>
    <row r="15" spans="1:29" ht="21" x14ac:dyDescent="0.65">
      <c r="A15" s="37"/>
      <c r="B15" s="18" t="s">
        <v>14</v>
      </c>
      <c r="C15" s="39"/>
      <c r="D15" s="39"/>
      <c r="E15" s="39"/>
      <c r="F15" s="39"/>
      <c r="G15" s="39"/>
      <c r="H15" s="39"/>
      <c r="I15" s="39"/>
      <c r="J15" s="57" t="e" cm="1">
        <f t="array" ref="J15">_xlfn.PERCENTILE.INC(_xlfn._xlws.FILTER(J6:J12, ROW(J6:J12)&lt;&gt;9), 0.75)</f>
        <v>#NUM!</v>
      </c>
      <c r="K15" s="57" t="e" cm="1">
        <f t="array" ref="K15">_xlfn.PERCENTILE.INC(_xlfn._xlws.FILTER(K6:K12, ROW(K6:K12)&lt;&gt;9), 0.75)</f>
        <v>#NUM!</v>
      </c>
      <c r="L15" s="57" t="e" cm="1">
        <f t="array" ref="L15">_xlfn.PERCENTILE.INC(_xlfn._xlws.FILTER(L6:L12, ROW(L6:L12)&lt;&gt;9), 0.75)</f>
        <v>#NUM!</v>
      </c>
      <c r="M15" s="57" t="e" cm="1">
        <f t="array" ref="M15">_xlfn.PERCENTILE.INC(_xlfn._xlws.FILTER(M6:M12, ROW(M6:M12)&lt;&gt;9), 0.75)</f>
        <v>#NUM!</v>
      </c>
      <c r="N15" s="37"/>
      <c r="O15" s="37"/>
      <c r="P15" s="19" t="e">
        <f>QUARTILE(P6:P12,3)</f>
        <v>#NUM!</v>
      </c>
      <c r="Q15" s="1"/>
      <c r="R15" s="1"/>
      <c r="S15" s="1"/>
      <c r="T15" s="66"/>
      <c r="U15" s="45"/>
      <c r="V15" s="45"/>
      <c r="W15" s="45"/>
      <c r="X15" s="45"/>
      <c r="Y15" s="45"/>
      <c r="Z15" s="45"/>
      <c r="AA15" s="64"/>
      <c r="AB15" s="65"/>
      <c r="AC15" s="65"/>
    </row>
    <row r="16" spans="1:29" ht="21" x14ac:dyDescent="0.65">
      <c r="A16" s="37"/>
      <c r="B16" s="20" t="s">
        <v>15</v>
      </c>
      <c r="C16" s="39"/>
      <c r="D16" s="39"/>
      <c r="E16" s="39"/>
      <c r="F16" s="39"/>
      <c r="G16" s="39"/>
      <c r="H16" s="39"/>
      <c r="I16" s="39"/>
      <c r="J16" s="58" t="e" cm="1">
        <f t="array" ref="J16">AVERAGE(_xlfn._xlws.FILTER(J6:J12, ROW(J6:J12)&lt;&gt;9))</f>
        <v>#DIV/0!</v>
      </c>
      <c r="K16" s="58" t="e" cm="1">
        <f t="array" ref="K16">AVERAGE(_xlfn._xlws.FILTER(K6:K12, ROW(K6:K12)&lt;&gt;9))</f>
        <v>#DIV/0!</v>
      </c>
      <c r="L16" s="58" t="e" cm="1">
        <f t="array" ref="L16">AVERAGE(_xlfn._xlws.FILTER(L6:L12, ROW(L6:L12)&lt;&gt;9))</f>
        <v>#DIV/0!</v>
      </c>
      <c r="M16" s="58" t="e" cm="1">
        <f t="array" ref="M16">AVERAGE(_xlfn._xlws.FILTER(M6:M12, ROW(M6:M12)&lt;&gt;9))</f>
        <v>#DIV/0!</v>
      </c>
      <c r="N16" s="37"/>
      <c r="O16" s="37"/>
      <c r="P16" s="21" t="e">
        <f>AVERAGE(P6:P12)</f>
        <v>#DIV/0!</v>
      </c>
      <c r="Q16" s="1"/>
      <c r="R16" s="1"/>
      <c r="S16" s="1"/>
      <c r="T16" s="67"/>
      <c r="U16" s="75" t="s">
        <v>8</v>
      </c>
      <c r="V16" s="75"/>
      <c r="W16" s="75"/>
      <c r="X16" s="75"/>
      <c r="Y16" s="76"/>
      <c r="Z16" s="45"/>
      <c r="AA16" s="79" t="s">
        <v>40</v>
      </c>
      <c r="AB16" s="79"/>
      <c r="AC16" s="79"/>
    </row>
    <row r="17" spans="1:29" ht="21" x14ac:dyDescent="0.65">
      <c r="A17" s="37"/>
      <c r="B17" s="20" t="s">
        <v>16</v>
      </c>
      <c r="C17" s="39"/>
      <c r="D17" s="39"/>
      <c r="E17" s="39"/>
      <c r="F17" s="39"/>
      <c r="G17" s="39"/>
      <c r="H17" s="39"/>
      <c r="I17" s="39"/>
      <c r="J17" s="58" t="e" cm="1">
        <f t="array" ref="J17">MEDIAN(_xlfn._xlws.FILTER(J6:J12, ROW(J6:J12)&lt;&gt;9))</f>
        <v>#NUM!</v>
      </c>
      <c r="K17" s="58" t="e" cm="1">
        <f t="array" ref="K17">MEDIAN(_xlfn._xlws.FILTER(K6:K12, ROW(K6:K12)&lt;&gt;9))</f>
        <v>#NUM!</v>
      </c>
      <c r="L17" s="58" t="e" cm="1">
        <f t="array" ref="L17">MEDIAN(_xlfn._xlws.FILTER(L6:L12, ROW(L6:L12)&lt;&gt;9))</f>
        <v>#NUM!</v>
      </c>
      <c r="M17" s="58" t="e" cm="1">
        <f t="array" ref="M17">MEDIAN(_xlfn._xlws.FILTER(M6:M12, ROW(M6:M12)&lt;&gt;9))</f>
        <v>#NUM!</v>
      </c>
      <c r="N17" s="37"/>
      <c r="O17" s="37"/>
      <c r="P17" s="21" t="e">
        <f>MEDIAN(P6:P12)</f>
        <v>#NUM!</v>
      </c>
      <c r="Q17" s="21" t="e">
        <f>MEDIAN(Q6:Q12)</f>
        <v>#NUM!</v>
      </c>
      <c r="R17" s="1"/>
      <c r="S17" s="1"/>
      <c r="T17" s="68"/>
      <c r="U17" s="59" t="str">
        <f>U12</f>
        <v>Low</v>
      </c>
      <c r="V17" s="59">
        <f>V12</f>
        <v>0.25</v>
      </c>
      <c r="W17" s="59" t="str">
        <f>W12</f>
        <v>Median</v>
      </c>
      <c r="X17" s="59">
        <f>X12</f>
        <v>0.75</v>
      </c>
      <c r="Y17" s="59" t="str">
        <f>Y12</f>
        <v>High</v>
      </c>
      <c r="Z17" s="45"/>
      <c r="AA17" s="60" t="s">
        <v>36</v>
      </c>
      <c r="AC17" s="46" t="str">
        <f>AC12</f>
        <v>SHARE PRICE</v>
      </c>
    </row>
    <row r="18" spans="1:29" ht="21" x14ac:dyDescent="0.65">
      <c r="A18" s="37"/>
      <c r="B18" s="18" t="s">
        <v>17</v>
      </c>
      <c r="C18" s="39"/>
      <c r="D18" s="39"/>
      <c r="E18" s="39"/>
      <c r="F18" s="39"/>
      <c r="G18" s="39"/>
      <c r="H18" s="39"/>
      <c r="I18" s="39"/>
      <c r="J18" s="57" t="e" cm="1">
        <f t="array" ref="J18">_xlfn.PERCENTILE.INC(_xlfn._xlws.FILTER(J6:J12, ROW(J6:J12)&lt;&gt;9), 0.25)</f>
        <v>#NUM!</v>
      </c>
      <c r="K18" s="57" t="e" cm="1">
        <f t="array" ref="K18">_xlfn.PERCENTILE.INC(_xlfn._xlws.FILTER(K6:K12, ROW(K6:K12)&lt;&gt;9), 0.25)</f>
        <v>#NUM!</v>
      </c>
      <c r="L18" s="57" t="e" cm="1">
        <f t="array" ref="L18">_xlfn.PERCENTILE.INC(_xlfn._xlws.FILTER(L6:L12, ROW(L6:L12)&lt;&gt;9), 0.25)</f>
        <v>#NUM!</v>
      </c>
      <c r="M18" s="57" t="e" cm="1">
        <f t="array" ref="M18">_xlfn.PERCENTILE.INC(_xlfn._xlws.FILTER(M6:M12, ROW(M6:M12)&lt;&gt;9), 0.25)</f>
        <v>#NUM!</v>
      </c>
      <c r="N18" s="37"/>
      <c r="O18" s="37"/>
      <c r="P18" s="19" t="e">
        <f>QUARTILE(P6:P12,1)</f>
        <v>#NUM!</v>
      </c>
      <c r="Q18" s="1"/>
      <c r="R18" s="1"/>
      <c r="S18" s="1"/>
      <c r="T18" s="68" t="s">
        <v>32</v>
      </c>
      <c r="U18" s="61">
        <f>L19</f>
        <v>0</v>
      </c>
      <c r="V18" s="61" t="e">
        <f>L18</f>
        <v>#NUM!</v>
      </c>
      <c r="W18" s="61" t="e">
        <f>L17</f>
        <v>#NUM!</v>
      </c>
      <c r="X18" s="61" t="e">
        <f>L15</f>
        <v>#NUM!</v>
      </c>
      <c r="Y18" s="41">
        <f>L14</f>
        <v>0</v>
      </c>
      <c r="Z18" s="45"/>
      <c r="AA18" s="62" t="s">
        <v>37</v>
      </c>
      <c r="AC18" s="47" t="e">
        <f>V9*$N$22+V14*$N$23+V19*$N$24</f>
        <v>#NUM!</v>
      </c>
    </row>
    <row r="19" spans="1:29" ht="21" x14ac:dyDescent="0.65">
      <c r="A19" s="37"/>
      <c r="B19" s="18" t="s">
        <v>18</v>
      </c>
      <c r="C19" s="38"/>
      <c r="D19" s="38"/>
      <c r="E19" s="38"/>
      <c r="F19" s="38"/>
      <c r="G19" s="38"/>
      <c r="H19" s="38"/>
      <c r="I19" s="38"/>
      <c r="J19" s="57" cm="1">
        <f t="array" ref="J19">MIN(_xlfn._xlws.FILTER(J6:J12, ROW(J6:J12)&lt;&gt;9))</f>
        <v>0</v>
      </c>
      <c r="K19" s="57" cm="1">
        <f t="array" ref="K19">MIN(_xlfn._xlws.FILTER(K6:K12, ROW(K6:K12)&lt;&gt;9))</f>
        <v>0</v>
      </c>
      <c r="L19" s="57" cm="1">
        <f t="array" ref="L19">MIN(_xlfn._xlws.FILTER(L6:L12, ROW(L6:L12)&lt;&gt;9))</f>
        <v>0</v>
      </c>
      <c r="M19" s="57" cm="1">
        <f t="array" ref="M19">MIN(_xlfn._xlws.FILTER(M6:M12, ROW(M6:M12)&lt;&gt;9))</f>
        <v>0</v>
      </c>
      <c r="N19" s="37"/>
      <c r="O19" s="37"/>
      <c r="P19" s="19">
        <f>MIN(P6:P12)</f>
        <v>0</v>
      </c>
      <c r="Q19" s="1"/>
      <c r="R19" s="1"/>
      <c r="S19" s="1"/>
      <c r="T19" s="69" t="s">
        <v>33</v>
      </c>
      <c r="U19" s="42" t="e">
        <f>(U18*$H$9-$J$23)/$J$25</f>
        <v>#VALUE!</v>
      </c>
      <c r="V19" s="42" t="e">
        <f>(V18*$H$9-$J$23)/$J$25</f>
        <v>#NUM!</v>
      </c>
      <c r="W19" s="42" t="e">
        <f>(W18*$H$9-$J$23)/$J$25</f>
        <v>#NUM!</v>
      </c>
      <c r="X19" s="42" t="e">
        <f>(X18*$H$9-$J$23)/$J$25</f>
        <v>#NUM!</v>
      </c>
      <c r="Y19" s="43" t="e">
        <f>(Y18*$H$9-$J$23)/$J$25</f>
        <v>#VALUE!</v>
      </c>
      <c r="Z19" s="45"/>
      <c r="AA19" s="62" t="s">
        <v>38</v>
      </c>
      <c r="AC19" s="90" t="e">
        <f>(AC18-AC17)/AC17</f>
        <v>#NUM!</v>
      </c>
    </row>
    <row r="20" spans="1:29" ht="17.5" x14ac:dyDescent="0.25">
      <c r="A20" s="37"/>
      <c r="B20" s="1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1"/>
      <c r="Q20" s="1"/>
      <c r="R20" s="1"/>
      <c r="S20" s="1"/>
    </row>
    <row r="21" spans="1:29" ht="21" x14ac:dyDescent="0.25">
      <c r="A21" s="37"/>
      <c r="B21" s="22" t="str" cm="1">
        <f t="array" ref="B21">INDEX(A:Z, H22, 2)</f>
        <v>COMPANY NAME</v>
      </c>
      <c r="C21" s="23"/>
      <c r="D21" s="23"/>
      <c r="E21" s="23"/>
      <c r="F21" s="23"/>
      <c r="G21" s="23"/>
      <c r="H21" s="24"/>
      <c r="I21" s="23"/>
      <c r="J21" s="4" t="s">
        <v>6</v>
      </c>
      <c r="K21" s="4" t="s">
        <v>7</v>
      </c>
      <c r="L21" s="48" t="s">
        <v>8</v>
      </c>
      <c r="M21" s="83" t="s">
        <v>41</v>
      </c>
      <c r="N21" s="84"/>
      <c r="O21" s="37"/>
      <c r="P21" s="1"/>
      <c r="Q21" s="1"/>
      <c r="R21" s="1"/>
      <c r="S21" s="1"/>
    </row>
    <row r="22" spans="1:29" ht="21" x14ac:dyDescent="0.25">
      <c r="A22" s="37"/>
      <c r="B22" s="25" t="s">
        <v>19</v>
      </c>
      <c r="C22" s="1"/>
      <c r="D22" s="1"/>
      <c r="E22" s="1"/>
      <c r="F22" s="82" t="s">
        <v>20</v>
      </c>
      <c r="G22" s="81"/>
      <c r="H22" s="26">
        <v>9</v>
      </c>
      <c r="I22" s="1"/>
      <c r="J22" s="16" t="e" cm="1">
        <f t="array" ref="J22">J17*INDEX(A:Z, $H$22, 6)</f>
        <v>#NUM!</v>
      </c>
      <c r="K22" s="16" t="e" cm="1">
        <f t="array" ref="K22">K17*INDEX(B:AA, $H$22, 6)</f>
        <v>#NUM!</v>
      </c>
      <c r="L22" s="35" t="e" cm="1">
        <f t="array" ref="L22">L17*INDEX(C:AB, $H$22, 6)</f>
        <v>#NUM!</v>
      </c>
      <c r="M22" s="54" t="s">
        <v>34</v>
      </c>
      <c r="N22" s="49">
        <f>J28</f>
        <v>0</v>
      </c>
      <c r="O22" s="37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9" ht="21" x14ac:dyDescent="0.25">
      <c r="A23" s="37"/>
      <c r="B23" s="25" t="s">
        <v>21</v>
      </c>
      <c r="C23" s="37"/>
      <c r="D23" s="37"/>
      <c r="E23" s="37"/>
      <c r="F23" s="37"/>
      <c r="G23" s="37"/>
      <c r="H23" s="37"/>
      <c r="I23" s="37"/>
      <c r="J23" s="27"/>
      <c r="K23" s="28">
        <f>J23</f>
        <v>0</v>
      </c>
      <c r="L23" s="28">
        <f>J23</f>
        <v>0</v>
      </c>
      <c r="M23" s="54" t="s">
        <v>7</v>
      </c>
      <c r="N23" s="49">
        <f>K28</f>
        <v>0</v>
      </c>
      <c r="O23" s="37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9" ht="21" x14ac:dyDescent="0.25">
      <c r="A24" s="37"/>
      <c r="B24" s="25" t="s">
        <v>22</v>
      </c>
      <c r="C24" s="37"/>
      <c r="D24" s="37"/>
      <c r="E24" s="37"/>
      <c r="F24" s="37"/>
      <c r="G24" s="37"/>
      <c r="H24" s="37"/>
      <c r="I24" s="37"/>
      <c r="J24" s="16" t="e">
        <f>J22-J23</f>
        <v>#NUM!</v>
      </c>
      <c r="K24" s="16" t="e">
        <f>K22-K23</f>
        <v>#NUM!</v>
      </c>
      <c r="L24" s="35" t="e">
        <f>L22-L23</f>
        <v>#NUM!</v>
      </c>
      <c r="M24" s="54" t="s">
        <v>8</v>
      </c>
      <c r="N24" s="49">
        <f>L28</f>
        <v>0</v>
      </c>
      <c r="O24" s="37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9" ht="21" x14ac:dyDescent="0.25">
      <c r="A25" s="37"/>
      <c r="B25" s="25" t="s">
        <v>23</v>
      </c>
      <c r="C25" s="37"/>
      <c r="D25" s="37"/>
      <c r="E25" s="37"/>
      <c r="F25" s="37"/>
      <c r="G25" s="37"/>
      <c r="H25" s="37"/>
      <c r="I25" s="37"/>
      <c r="J25" s="27"/>
      <c r="K25" s="28">
        <f>J25</f>
        <v>0</v>
      </c>
      <c r="L25" s="28">
        <f>J25</f>
        <v>0</v>
      </c>
      <c r="M25" s="50"/>
      <c r="N25" s="55">
        <f>SUM(N22:N24)</f>
        <v>0</v>
      </c>
      <c r="O25" s="37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9" ht="21" x14ac:dyDescent="0.25">
      <c r="A26" s="37"/>
      <c r="B26" s="29" t="s">
        <v>24</v>
      </c>
      <c r="C26" s="29"/>
      <c r="D26" s="30"/>
      <c r="E26" s="29"/>
      <c r="F26" s="29"/>
      <c r="G26" s="29"/>
      <c r="H26" s="29"/>
      <c r="I26" s="29"/>
      <c r="J26" s="31" t="e">
        <f t="shared" ref="J26:L26" si="0">J24/J25</f>
        <v>#NUM!</v>
      </c>
      <c r="K26" s="31" t="e">
        <f t="shared" si="0"/>
        <v>#NUM!</v>
      </c>
      <c r="L26" s="31" t="e">
        <f t="shared" si="0"/>
        <v>#NUM!</v>
      </c>
      <c r="M26" s="51" t="s">
        <v>42</v>
      </c>
      <c r="N26" s="52" t="e">
        <f>N22*J26+N23*K26+N24*L26</f>
        <v>#NUM!</v>
      </c>
      <c r="O26" s="37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ht="21" x14ac:dyDescent="0.25">
      <c r="A27" s="37"/>
      <c r="B27" s="25" t="s">
        <v>38</v>
      </c>
      <c r="C27" s="1"/>
      <c r="D27" s="32"/>
      <c r="E27" s="1"/>
      <c r="F27" s="1"/>
      <c r="G27" s="1"/>
      <c r="H27" s="1"/>
      <c r="I27" s="1"/>
      <c r="J27" s="85" t="e" cm="1">
        <f t="array" ref="J27">(J26-INDEX(A:Z, H22, 4))/INDEX(A:Z, H22, 4)</f>
        <v>#NUM!</v>
      </c>
      <c r="K27" s="85" t="e">
        <f t="array" ref="K27">(K26-INDEX(A:Z, H22, 4))/INDEX(A:Z, H22, 4)</f>
        <v>#NUM!</v>
      </c>
      <c r="L27" s="86" t="e">
        <f t="array" ref="L27">(L26-INDEX(A:Z, H22, 4))/INDEX(A:Z, H22, 4)</f>
        <v>#NUM!</v>
      </c>
      <c r="M27" s="53"/>
      <c r="N27" s="87" t="e">
        <f>(N26-D9)/D9</f>
        <v>#NUM!</v>
      </c>
      <c r="O27" s="37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ht="21" x14ac:dyDescent="0.25">
      <c r="A28" s="37"/>
      <c r="B28" s="1"/>
      <c r="C28" s="1"/>
      <c r="D28" s="32"/>
      <c r="E28" s="1"/>
      <c r="F28" s="1"/>
      <c r="G28" s="1"/>
      <c r="I28" s="1"/>
      <c r="J28" s="56"/>
      <c r="K28" s="56"/>
      <c r="L28" s="56"/>
      <c r="M28" s="1"/>
      <c r="N28" s="37"/>
      <c r="O28" s="37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ht="21" x14ac:dyDescent="0.25">
      <c r="A29" s="37"/>
      <c r="B29" s="1"/>
      <c r="C29" s="1"/>
      <c r="D29" s="32"/>
      <c r="E29" s="1"/>
      <c r="F29" s="1"/>
      <c r="G29" s="1"/>
      <c r="H29" s="1"/>
      <c r="I29" s="1"/>
      <c r="J29" s="56"/>
      <c r="K29" s="56"/>
      <c r="L29" s="56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9" ht="21" x14ac:dyDescent="0.25">
      <c r="A30" s="37"/>
      <c r="B30" s="1"/>
      <c r="C30" s="1"/>
      <c r="D30" s="32"/>
      <c r="E30" s="1"/>
      <c r="F30" s="1"/>
      <c r="G30" s="1"/>
      <c r="H30" s="1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9" ht="17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9" ht="17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7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7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7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7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7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7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7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7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7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7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7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7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7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7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7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7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7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7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7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7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7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7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7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7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7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7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7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7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7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7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7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7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7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7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7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7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7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7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7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7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7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7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7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7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7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7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7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7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7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7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7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7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7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7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7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7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7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7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7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7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7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7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7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7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7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7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7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7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7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7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7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7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7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7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7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7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7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7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7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7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7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7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7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7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7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7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7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7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7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7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7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7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7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7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7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7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7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7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7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7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7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7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7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7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7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7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7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7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7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7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7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7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7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7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7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7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7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7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7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7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7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7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7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7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7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7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7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7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7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7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7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7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7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7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7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7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7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7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7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7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7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7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7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7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7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7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7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7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7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7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7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7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7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7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7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7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7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7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7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7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7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7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7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7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7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7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7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7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7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7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7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7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7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7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7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7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7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7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7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7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7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7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7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7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7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7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7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7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7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7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7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7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7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7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7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7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7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7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7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7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7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7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7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7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7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7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7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7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7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7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7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7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7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7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7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7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7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7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7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7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7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7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7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7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7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7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7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7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7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7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7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7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7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7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7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7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7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7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7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7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7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7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7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7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7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7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7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7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7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7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7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7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7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7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7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7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7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7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7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7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7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7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7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7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7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7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7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7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7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7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7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7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7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7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7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7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7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7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7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7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7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7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7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7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7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7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7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7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7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7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7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7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7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7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7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7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7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7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7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7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7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7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7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7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7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7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7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7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7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7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7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7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7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7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7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7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7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7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7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7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7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7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7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7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7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7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7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7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7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7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7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7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7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7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7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7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7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7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7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7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7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7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7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7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7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7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7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7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7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7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7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7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7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7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7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7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7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7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7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7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7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7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7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7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7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7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7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7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7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7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7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7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7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7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7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7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7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7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7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7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7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7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7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7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7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7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7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7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7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7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7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7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7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7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7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7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7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7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7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7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7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7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7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7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7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7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7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7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7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7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7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7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7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7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7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7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7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7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7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7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7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7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7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7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7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7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7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7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7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7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7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7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7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7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7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7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7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7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7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7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7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7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7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7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7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7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7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7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7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7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7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7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7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7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7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7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7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7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7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7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7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7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7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7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7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7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7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7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7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7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7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7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7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7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7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7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7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7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7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7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7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7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7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7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7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7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7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7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7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7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7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7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7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7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7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7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7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7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7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7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7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7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7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7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7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7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7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7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7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7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7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7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7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7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7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7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7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7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7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7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7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7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7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7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7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7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7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7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7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7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7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7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7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7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7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7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7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7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7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7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7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7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7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7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7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7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7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7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7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7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7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7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7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7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7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7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7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7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7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7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7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7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7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7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7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7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7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7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7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7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7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7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7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7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7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7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7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7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7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7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7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7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7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7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7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7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7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7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7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7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7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7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7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7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7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7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7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7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7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7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7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7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7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7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7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7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7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7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7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7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7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7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7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7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7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7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7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7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7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7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7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7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7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7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7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7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7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7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7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7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7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7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7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7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7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7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7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7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7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7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7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7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7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7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7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7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7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7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7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7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7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7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7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7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7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7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7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7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7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7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7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7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7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7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7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7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7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7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7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7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7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7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7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7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7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7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7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7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7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7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7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7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7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7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7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7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7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7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7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7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7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7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7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7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7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7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7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7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7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7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7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7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7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7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7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7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7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7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7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7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7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7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7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7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7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7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7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7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7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7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7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7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7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7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7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7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7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7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7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7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7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7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7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7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7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7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7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7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7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7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7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7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7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7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7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7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7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7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7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7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7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7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7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7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7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7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7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7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7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7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7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7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7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7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7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7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7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7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7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7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7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7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7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7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7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7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7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7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7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7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7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7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7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7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7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7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7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7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7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7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7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7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7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7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7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7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7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7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7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7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7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7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7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7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7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7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7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7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7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7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7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7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7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7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7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7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7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7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7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7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7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7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7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7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7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7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7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7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7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7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7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7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7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7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7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7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7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7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7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7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7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7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7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7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7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7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7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7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7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7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7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7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7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7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7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7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7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7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7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7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7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7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7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7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7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7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7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7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7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7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7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7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7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7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7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7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7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7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7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7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7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7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7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7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7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7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7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7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7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7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7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7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7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7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7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7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7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7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7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7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7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7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7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7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7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7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7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7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7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7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7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7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7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7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7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7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7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7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7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7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7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7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7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7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7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7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7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7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7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7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7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7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7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7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7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7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7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7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7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7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7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7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7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7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7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7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7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7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7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7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7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7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7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7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7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7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0">
    <mergeCell ref="F3:H3"/>
    <mergeCell ref="F22:G22"/>
    <mergeCell ref="M21:N21"/>
    <mergeCell ref="T4:Y4"/>
    <mergeCell ref="U16:Y16"/>
    <mergeCell ref="U11:Y11"/>
    <mergeCell ref="U6:Y6"/>
    <mergeCell ref="AA6:AC6"/>
    <mergeCell ref="AA11:AC11"/>
    <mergeCell ref="AA16:AC16"/>
  </mergeCells>
  <conditionalFormatting sqref="F6:N12">
    <cfRule type="cellIs" dxfId="2" priority="3" operator="equal">
      <formula>"NA"</formula>
    </cfRule>
  </conditionalFormatting>
  <conditionalFormatting sqref="N26">
    <cfRule type="expression" dxfId="1" priority="1">
      <formula>$N$25&gt;1</formula>
    </cfRule>
    <cfRule type="expression" dxfId="0" priority="2">
      <formula>$N$25&lt;1</formula>
    </cfRule>
  </conditionalFormatting>
  <conditionalFormatting sqref="Q6:Q12">
    <cfRule type="colorScale" priority="10">
      <colorScale>
        <cfvo type="min"/>
        <cfvo type="formula" val="20.61"/>
        <cfvo type="max"/>
        <color rgb="FF57BB8A"/>
        <color rgb="FFFFFFFF"/>
        <color rgb="FFE67C73"/>
      </colorScale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Chow</cp:lastModifiedBy>
  <dcterms:modified xsi:type="dcterms:W3CDTF">2026-03-15T20:53:02Z</dcterms:modified>
</cp:coreProperties>
</file>